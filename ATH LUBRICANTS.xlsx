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C9D751D-9776-440B-9A6B-ACA9066BA558}" xr6:coauthVersionLast="47" xr6:coauthVersionMax="47" xr10:uidLastSave="{00000000-0000-0000-0000-000000000000}"/>
  <bookViews>
    <workbookView xWindow="-108" yWindow="-108" windowWidth="23256" windowHeight="13176" firstSheet="4" activeTab="6" xr2:uid="{CD1A6513-2C82-4B74-90F4-10C0C7B14A57}"/>
  </bookViews>
  <sheets>
    <sheet name="ITEM MASTER" sheetId="1" r:id="rId1"/>
    <sheet name="PURCHASE" sheetId="2" r:id="rId2"/>
    <sheet name="SUPPLIER" sheetId="3" r:id="rId3"/>
    <sheet name="STOCK LEDGER" sheetId="6" r:id="rId4"/>
    <sheet name="SALES" sheetId="7" r:id="rId5"/>
    <sheet name="CUSTOMERS" sheetId="8" r:id="rId6"/>
    <sheet name="CUSTOMERS PAYMENTS" sheetId="9" r:id="rId7"/>
    <sheet name="EXPENSES" sheetId="10" r:id="rId8"/>
    <sheet name="SUPPLIER PAYMENTS" sheetId="11" r:id="rId9"/>
    <sheet name="CASH &amp; BANK" sheetId="12" r:id="rId10"/>
  </sheets>
  <definedNames>
    <definedName name="_xlnm._FilterDatabase" localSheetId="6" hidden="1">'CUSTOMERS PAYMENTS'!$A$1:$G$1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0" l="1"/>
  <c r="L4" i="10"/>
  <c r="L5" i="10"/>
  <c r="L6" i="10"/>
  <c r="L2" i="10"/>
  <c r="N3" i="12"/>
  <c r="N4" i="12"/>
  <c r="N5" i="12"/>
  <c r="N6" i="12"/>
  <c r="N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" i="12"/>
  <c r="B4" i="12"/>
  <c r="B3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" i="12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2" i="8"/>
  <c r="K4" i="6"/>
  <c r="K5" i="6"/>
  <c r="K7" i="6"/>
  <c r="K8" i="6"/>
  <c r="K9" i="6"/>
  <c r="A4" i="7"/>
  <c r="A5" i="7"/>
  <c r="A6" i="7"/>
  <c r="A7" i="7"/>
  <c r="A8" i="7"/>
  <c r="A9" i="7"/>
  <c r="A10" i="7"/>
  <c r="A11" i="7"/>
  <c r="A12" i="7"/>
  <c r="A13" i="7"/>
  <c r="A14" i="7"/>
  <c r="A15" i="7"/>
  <c r="F4" i="7"/>
  <c r="F5" i="7"/>
  <c r="F6" i="7"/>
  <c r="F7" i="7"/>
  <c r="F8" i="7"/>
  <c r="F9" i="7"/>
  <c r="F10" i="7"/>
  <c r="F11" i="7"/>
  <c r="F12" i="7"/>
  <c r="F13" i="7"/>
  <c r="F14" i="7"/>
  <c r="F15" i="7"/>
  <c r="J4" i="7"/>
  <c r="J5" i="7"/>
  <c r="J6" i="7"/>
  <c r="O6" i="7" s="1"/>
  <c r="J7" i="7"/>
  <c r="O7" i="7" s="1"/>
  <c r="J8" i="7"/>
  <c r="J9" i="7"/>
  <c r="J10" i="7"/>
  <c r="J11" i="7"/>
  <c r="J12" i="7"/>
  <c r="J13" i="7"/>
  <c r="J14" i="7"/>
  <c r="J15" i="7"/>
  <c r="K4" i="7"/>
  <c r="K5" i="7"/>
  <c r="K6" i="7"/>
  <c r="K7" i="7"/>
  <c r="K8" i="7"/>
  <c r="K9" i="7"/>
  <c r="K10" i="7"/>
  <c r="K11" i="7"/>
  <c r="K12" i="7"/>
  <c r="K13" i="7"/>
  <c r="K14" i="7"/>
  <c r="K15" i="7"/>
  <c r="L4" i="7"/>
  <c r="L5" i="7"/>
  <c r="L6" i="7"/>
  <c r="L7" i="7"/>
  <c r="L8" i="7"/>
  <c r="L9" i="7"/>
  <c r="L10" i="7"/>
  <c r="L11" i="7"/>
  <c r="L12" i="7"/>
  <c r="L13" i="7"/>
  <c r="L14" i="7"/>
  <c r="L15" i="7"/>
  <c r="O4" i="7"/>
  <c r="O5" i="7"/>
  <c r="O8" i="7"/>
  <c r="O9" i="7"/>
  <c r="O10" i="7"/>
  <c r="O11" i="7"/>
  <c r="O12" i="7"/>
  <c r="O13" i="7"/>
  <c r="O14" i="7"/>
  <c r="O15" i="7"/>
  <c r="K3" i="7"/>
  <c r="L3" i="7" s="1"/>
  <c r="J3" i="7"/>
  <c r="O3" i="7" s="1"/>
  <c r="N20" i="7"/>
  <c r="F3" i="7"/>
  <c r="A3" i="7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E3" i="6"/>
  <c r="H3" i="6"/>
  <c r="I3" i="6"/>
  <c r="J3" i="6"/>
  <c r="E4" i="6"/>
  <c r="H4" i="6"/>
  <c r="I4" i="6"/>
  <c r="J4" i="6"/>
  <c r="E5" i="6"/>
  <c r="H5" i="6"/>
  <c r="I5" i="6"/>
  <c r="J5" i="6"/>
  <c r="E6" i="6"/>
  <c r="H6" i="6"/>
  <c r="I6" i="6"/>
  <c r="J6" i="6"/>
  <c r="E7" i="6"/>
  <c r="H7" i="6"/>
  <c r="I7" i="6"/>
  <c r="J7" i="6"/>
  <c r="E8" i="6"/>
  <c r="H8" i="6"/>
  <c r="I8" i="6"/>
  <c r="J8" i="6"/>
  <c r="E9" i="6"/>
  <c r="H9" i="6"/>
  <c r="I9" i="6"/>
  <c r="J9" i="6"/>
  <c r="E10" i="6"/>
  <c r="H10" i="6"/>
  <c r="I10" i="6"/>
  <c r="J10" i="6"/>
  <c r="E11" i="6"/>
  <c r="H11" i="6"/>
  <c r="I11" i="6"/>
  <c r="J11" i="6"/>
  <c r="E12" i="6"/>
  <c r="H12" i="6"/>
  <c r="I12" i="6"/>
  <c r="J12" i="6"/>
  <c r="E13" i="6"/>
  <c r="H13" i="6"/>
  <c r="I13" i="6"/>
  <c r="J13" i="6"/>
  <c r="E14" i="6"/>
  <c r="H14" i="6"/>
  <c r="I14" i="6"/>
  <c r="J14" i="6"/>
  <c r="E15" i="6"/>
  <c r="H15" i="6"/>
  <c r="I15" i="6"/>
  <c r="J15" i="6"/>
  <c r="E16" i="6"/>
  <c r="H16" i="6"/>
  <c r="I16" i="6"/>
  <c r="J16" i="6"/>
  <c r="E17" i="6"/>
  <c r="H17" i="6"/>
  <c r="I17" i="6"/>
  <c r="J17" i="6"/>
  <c r="E18" i="6"/>
  <c r="H18" i="6"/>
  <c r="I18" i="6"/>
  <c r="J18" i="6"/>
  <c r="E19" i="6"/>
  <c r="H19" i="6"/>
  <c r="I19" i="6"/>
  <c r="J19" i="6"/>
  <c r="E20" i="6"/>
  <c r="H20" i="6"/>
  <c r="I20" i="6"/>
  <c r="J20" i="6"/>
  <c r="E21" i="6"/>
  <c r="H21" i="6"/>
  <c r="I21" i="6"/>
  <c r="J21" i="6"/>
  <c r="E22" i="6"/>
  <c r="H22" i="6"/>
  <c r="I22" i="6"/>
  <c r="J22" i="6"/>
  <c r="E23" i="6"/>
  <c r="H23" i="6"/>
  <c r="I23" i="6"/>
  <c r="J23" i="6"/>
  <c r="E24" i="6"/>
  <c r="H24" i="6"/>
  <c r="I24" i="6"/>
  <c r="J24" i="6"/>
  <c r="E25" i="6"/>
  <c r="H25" i="6"/>
  <c r="I25" i="6"/>
  <c r="J25" i="6"/>
  <c r="E26" i="6"/>
  <c r="H26" i="6"/>
  <c r="I26" i="6"/>
  <c r="J26" i="6"/>
  <c r="E27" i="6"/>
  <c r="H27" i="6"/>
  <c r="I27" i="6"/>
  <c r="J27" i="6"/>
  <c r="E28" i="6"/>
  <c r="H28" i="6"/>
  <c r="I28" i="6"/>
  <c r="J28" i="6"/>
  <c r="E29" i="6"/>
  <c r="H29" i="6"/>
  <c r="I29" i="6"/>
  <c r="J29" i="6"/>
  <c r="E30" i="6"/>
  <c r="H30" i="6"/>
  <c r="I30" i="6"/>
  <c r="J30" i="6"/>
  <c r="E31" i="6"/>
  <c r="H31" i="6"/>
  <c r="I31" i="6"/>
  <c r="J31" i="6"/>
  <c r="E32" i="6"/>
  <c r="H32" i="6"/>
  <c r="I32" i="6"/>
  <c r="J32" i="6"/>
  <c r="E33" i="6"/>
  <c r="H33" i="6"/>
  <c r="I33" i="6"/>
  <c r="J33" i="6"/>
  <c r="E34" i="6"/>
  <c r="H34" i="6"/>
  <c r="I34" i="6"/>
  <c r="J34" i="6"/>
  <c r="E35" i="6"/>
  <c r="H35" i="6"/>
  <c r="I35" i="6"/>
  <c r="J35" i="6"/>
  <c r="E36" i="6"/>
  <c r="H36" i="6"/>
  <c r="I36" i="6"/>
  <c r="J36" i="6"/>
  <c r="E37" i="6"/>
  <c r="H37" i="6"/>
  <c r="I37" i="6"/>
  <c r="J37" i="6"/>
  <c r="E38" i="6"/>
  <c r="H38" i="6"/>
  <c r="I38" i="6"/>
  <c r="J38" i="6"/>
  <c r="E39" i="6"/>
  <c r="H39" i="6"/>
  <c r="I39" i="6"/>
  <c r="J39" i="6"/>
  <c r="E40" i="6"/>
  <c r="H40" i="6"/>
  <c r="I40" i="6"/>
  <c r="J40" i="6"/>
  <c r="E41" i="6"/>
  <c r="H41" i="6"/>
  <c r="I41" i="6"/>
  <c r="J41" i="6"/>
  <c r="E42" i="6"/>
  <c r="H42" i="6"/>
  <c r="I42" i="6"/>
  <c r="J42" i="6"/>
  <c r="E43" i="6"/>
  <c r="H43" i="6"/>
  <c r="I43" i="6"/>
  <c r="J43" i="6"/>
  <c r="E44" i="6"/>
  <c r="H44" i="6"/>
  <c r="I44" i="6"/>
  <c r="J44" i="6"/>
  <c r="E45" i="6"/>
  <c r="H45" i="6"/>
  <c r="I45" i="6"/>
  <c r="J45" i="6"/>
  <c r="E46" i="6"/>
  <c r="H46" i="6"/>
  <c r="I46" i="6"/>
  <c r="J46" i="6"/>
  <c r="E47" i="6"/>
  <c r="H47" i="6"/>
  <c r="I47" i="6"/>
  <c r="J47" i="6"/>
  <c r="E48" i="6"/>
  <c r="H48" i="6"/>
  <c r="I48" i="6"/>
  <c r="J48" i="6"/>
  <c r="E49" i="6"/>
  <c r="H49" i="6"/>
  <c r="I49" i="6"/>
  <c r="J49" i="6"/>
  <c r="E50" i="6"/>
  <c r="H50" i="6"/>
  <c r="I50" i="6"/>
  <c r="J50" i="6"/>
  <c r="E51" i="6"/>
  <c r="H51" i="6"/>
  <c r="I51" i="6"/>
  <c r="J51" i="6"/>
  <c r="E52" i="6"/>
  <c r="H52" i="6"/>
  <c r="I52" i="6"/>
  <c r="J52" i="6"/>
  <c r="E53" i="6"/>
  <c r="H53" i="6"/>
  <c r="I53" i="6"/>
  <c r="J53" i="6"/>
  <c r="E54" i="6"/>
  <c r="H54" i="6"/>
  <c r="I54" i="6"/>
  <c r="J54" i="6"/>
  <c r="E55" i="6"/>
  <c r="H55" i="6"/>
  <c r="I55" i="6"/>
  <c r="J55" i="6"/>
  <c r="E56" i="6"/>
  <c r="H56" i="6"/>
  <c r="I56" i="6"/>
  <c r="J56" i="6"/>
  <c r="E57" i="6"/>
  <c r="H57" i="6"/>
  <c r="I57" i="6"/>
  <c r="J57" i="6"/>
  <c r="E58" i="6"/>
  <c r="H58" i="6"/>
  <c r="I58" i="6"/>
  <c r="J58" i="6"/>
  <c r="E59" i="6"/>
  <c r="H59" i="6"/>
  <c r="I59" i="6"/>
  <c r="J59" i="6"/>
  <c r="E60" i="6"/>
  <c r="H60" i="6"/>
  <c r="I60" i="6"/>
  <c r="J60" i="6"/>
  <c r="E61" i="6"/>
  <c r="H61" i="6"/>
  <c r="I61" i="6"/>
  <c r="J61" i="6"/>
  <c r="E62" i="6"/>
  <c r="H62" i="6"/>
  <c r="I62" i="6"/>
  <c r="J62" i="6"/>
  <c r="E63" i="6"/>
  <c r="H63" i="6"/>
  <c r="I63" i="6"/>
  <c r="J63" i="6"/>
  <c r="E64" i="6"/>
  <c r="H64" i="6"/>
  <c r="I64" i="6"/>
  <c r="J64" i="6"/>
  <c r="E65" i="6"/>
  <c r="H65" i="6"/>
  <c r="I65" i="6"/>
  <c r="J65" i="6"/>
  <c r="E66" i="6"/>
  <c r="H66" i="6"/>
  <c r="I66" i="6"/>
  <c r="J66" i="6"/>
  <c r="E67" i="6"/>
  <c r="H67" i="6"/>
  <c r="I67" i="6"/>
  <c r="J67" i="6"/>
  <c r="E68" i="6"/>
  <c r="H68" i="6"/>
  <c r="I68" i="6"/>
  <c r="J68" i="6"/>
  <c r="E69" i="6"/>
  <c r="H69" i="6"/>
  <c r="I69" i="6"/>
  <c r="J69" i="6"/>
  <c r="E70" i="6"/>
  <c r="H70" i="6"/>
  <c r="I70" i="6"/>
  <c r="J70" i="6"/>
  <c r="E71" i="6"/>
  <c r="H71" i="6"/>
  <c r="I71" i="6"/>
  <c r="J71" i="6"/>
  <c r="E72" i="6"/>
  <c r="H72" i="6"/>
  <c r="I72" i="6"/>
  <c r="J72" i="6"/>
  <c r="E73" i="6"/>
  <c r="H73" i="6"/>
  <c r="I73" i="6"/>
  <c r="J73" i="6"/>
  <c r="E74" i="6"/>
  <c r="H74" i="6"/>
  <c r="I74" i="6"/>
  <c r="J74" i="6"/>
  <c r="E75" i="6"/>
  <c r="H75" i="6"/>
  <c r="I75" i="6"/>
  <c r="J75" i="6"/>
  <c r="E76" i="6"/>
  <c r="H76" i="6"/>
  <c r="I76" i="6"/>
  <c r="J76" i="6"/>
  <c r="E77" i="6"/>
  <c r="H77" i="6"/>
  <c r="I77" i="6"/>
  <c r="J77" i="6"/>
  <c r="E78" i="6"/>
  <c r="H78" i="6"/>
  <c r="I78" i="6"/>
  <c r="J78" i="6"/>
  <c r="E79" i="6"/>
  <c r="H79" i="6"/>
  <c r="I79" i="6"/>
  <c r="J79" i="6"/>
  <c r="E80" i="6"/>
  <c r="H80" i="6"/>
  <c r="I80" i="6"/>
  <c r="J80" i="6"/>
  <c r="E81" i="6"/>
  <c r="H81" i="6"/>
  <c r="I81" i="6"/>
  <c r="J81" i="6"/>
  <c r="E82" i="6"/>
  <c r="H82" i="6"/>
  <c r="I82" i="6"/>
  <c r="J82" i="6"/>
  <c r="E83" i="6"/>
  <c r="H83" i="6"/>
  <c r="I83" i="6"/>
  <c r="J83" i="6"/>
  <c r="E84" i="6"/>
  <c r="H84" i="6"/>
  <c r="I84" i="6"/>
  <c r="J84" i="6"/>
  <c r="E85" i="6"/>
  <c r="H85" i="6"/>
  <c r="I85" i="6"/>
  <c r="J85" i="6"/>
  <c r="E86" i="6"/>
  <c r="H86" i="6"/>
  <c r="I86" i="6"/>
  <c r="J86" i="6"/>
  <c r="E87" i="6"/>
  <c r="H87" i="6"/>
  <c r="I87" i="6"/>
  <c r="J87" i="6"/>
  <c r="E88" i="6"/>
  <c r="H88" i="6"/>
  <c r="I88" i="6"/>
  <c r="J88" i="6"/>
  <c r="E89" i="6"/>
  <c r="H89" i="6"/>
  <c r="I89" i="6"/>
  <c r="J89" i="6"/>
  <c r="E90" i="6"/>
  <c r="H90" i="6"/>
  <c r="I90" i="6"/>
  <c r="J90" i="6"/>
  <c r="E91" i="6"/>
  <c r="H91" i="6"/>
  <c r="I91" i="6"/>
  <c r="J91" i="6"/>
  <c r="E92" i="6"/>
  <c r="H92" i="6"/>
  <c r="I92" i="6"/>
  <c r="J92" i="6"/>
  <c r="E93" i="6"/>
  <c r="H93" i="6"/>
  <c r="I93" i="6"/>
  <c r="J93" i="6"/>
  <c r="E94" i="6"/>
  <c r="H94" i="6"/>
  <c r="I94" i="6"/>
  <c r="J94" i="6"/>
  <c r="E95" i="6"/>
  <c r="H95" i="6"/>
  <c r="I95" i="6"/>
  <c r="J95" i="6"/>
  <c r="E96" i="6"/>
  <c r="H96" i="6"/>
  <c r="I96" i="6"/>
  <c r="J96" i="6"/>
  <c r="E97" i="6"/>
  <c r="H97" i="6"/>
  <c r="I97" i="6"/>
  <c r="J97" i="6"/>
  <c r="E98" i="6"/>
  <c r="H98" i="6"/>
  <c r="I98" i="6"/>
  <c r="J98" i="6"/>
  <c r="E99" i="6"/>
  <c r="H99" i="6"/>
  <c r="I99" i="6"/>
  <c r="J99" i="6"/>
  <c r="E100" i="6"/>
  <c r="H100" i="6"/>
  <c r="I100" i="6"/>
  <c r="J100" i="6"/>
  <c r="E101" i="6"/>
  <c r="H101" i="6"/>
  <c r="I101" i="6"/>
  <c r="J101" i="6"/>
  <c r="E102" i="6"/>
  <c r="H102" i="6"/>
  <c r="I102" i="6"/>
  <c r="J102" i="6"/>
  <c r="E103" i="6"/>
  <c r="H103" i="6"/>
  <c r="I103" i="6"/>
  <c r="J103" i="6"/>
  <c r="E104" i="6"/>
  <c r="H104" i="6"/>
  <c r="I104" i="6"/>
  <c r="J104" i="6"/>
  <c r="E105" i="6"/>
  <c r="H105" i="6"/>
  <c r="I105" i="6"/>
  <c r="J105" i="6"/>
  <c r="E106" i="6"/>
  <c r="H106" i="6"/>
  <c r="I106" i="6"/>
  <c r="J106" i="6"/>
  <c r="E107" i="6"/>
  <c r="H107" i="6"/>
  <c r="I107" i="6"/>
  <c r="J107" i="6"/>
  <c r="E108" i="6"/>
  <c r="H108" i="6"/>
  <c r="I108" i="6"/>
  <c r="J108" i="6"/>
  <c r="E109" i="6"/>
  <c r="H109" i="6"/>
  <c r="I109" i="6"/>
  <c r="J109" i="6"/>
  <c r="E110" i="6"/>
  <c r="H110" i="6"/>
  <c r="I110" i="6"/>
  <c r="J110" i="6"/>
  <c r="E111" i="6"/>
  <c r="H111" i="6"/>
  <c r="I111" i="6"/>
  <c r="J111" i="6"/>
  <c r="E112" i="6"/>
  <c r="H112" i="6"/>
  <c r="I112" i="6"/>
  <c r="J112" i="6"/>
  <c r="E113" i="6"/>
  <c r="H113" i="6"/>
  <c r="I113" i="6"/>
  <c r="J113" i="6"/>
  <c r="E114" i="6"/>
  <c r="H114" i="6"/>
  <c r="I114" i="6"/>
  <c r="J114" i="6"/>
  <c r="E115" i="6"/>
  <c r="H115" i="6"/>
  <c r="I115" i="6"/>
  <c r="J115" i="6"/>
  <c r="E116" i="6"/>
  <c r="H116" i="6"/>
  <c r="I116" i="6"/>
  <c r="J116" i="6"/>
  <c r="E117" i="6"/>
  <c r="H117" i="6"/>
  <c r="I117" i="6"/>
  <c r="J117" i="6"/>
  <c r="E118" i="6"/>
  <c r="H118" i="6"/>
  <c r="I118" i="6"/>
  <c r="J118" i="6"/>
  <c r="E119" i="6"/>
  <c r="H119" i="6"/>
  <c r="I119" i="6"/>
  <c r="J119" i="6"/>
  <c r="E120" i="6"/>
  <c r="H120" i="6"/>
  <c r="I120" i="6"/>
  <c r="J120" i="6"/>
  <c r="E121" i="6"/>
  <c r="H121" i="6"/>
  <c r="I121" i="6"/>
  <c r="J121" i="6"/>
  <c r="E122" i="6"/>
  <c r="H122" i="6"/>
  <c r="I122" i="6"/>
  <c r="J122" i="6"/>
  <c r="E123" i="6"/>
  <c r="H123" i="6"/>
  <c r="I123" i="6"/>
  <c r="J123" i="6"/>
  <c r="E124" i="6"/>
  <c r="H124" i="6"/>
  <c r="I124" i="6"/>
  <c r="J124" i="6"/>
  <c r="E125" i="6"/>
  <c r="H125" i="6"/>
  <c r="I125" i="6"/>
  <c r="J125" i="6"/>
  <c r="E126" i="6"/>
  <c r="H126" i="6"/>
  <c r="I126" i="6"/>
  <c r="J126" i="6"/>
  <c r="E127" i="6"/>
  <c r="H127" i="6"/>
  <c r="I127" i="6"/>
  <c r="J127" i="6"/>
  <c r="E128" i="6"/>
  <c r="H128" i="6"/>
  <c r="I128" i="6"/>
  <c r="J128" i="6"/>
  <c r="E129" i="6"/>
  <c r="H129" i="6"/>
  <c r="I129" i="6"/>
  <c r="J129" i="6"/>
  <c r="E130" i="6"/>
  <c r="H130" i="6"/>
  <c r="I130" i="6"/>
  <c r="J130" i="6"/>
  <c r="E131" i="6"/>
  <c r="H131" i="6"/>
  <c r="I131" i="6"/>
  <c r="J131" i="6"/>
  <c r="E132" i="6"/>
  <c r="H132" i="6"/>
  <c r="I132" i="6"/>
  <c r="J132" i="6"/>
  <c r="E133" i="6"/>
  <c r="H133" i="6"/>
  <c r="I133" i="6"/>
  <c r="J133" i="6"/>
  <c r="E134" i="6"/>
  <c r="H134" i="6"/>
  <c r="I134" i="6"/>
  <c r="J134" i="6"/>
  <c r="E135" i="6"/>
  <c r="H135" i="6"/>
  <c r="I135" i="6"/>
  <c r="J135" i="6"/>
  <c r="E136" i="6"/>
  <c r="H136" i="6"/>
  <c r="I136" i="6"/>
  <c r="J136" i="6"/>
  <c r="E137" i="6"/>
  <c r="H137" i="6"/>
  <c r="I137" i="6"/>
  <c r="J137" i="6"/>
  <c r="E138" i="6"/>
  <c r="H138" i="6"/>
  <c r="I138" i="6"/>
  <c r="J138" i="6"/>
  <c r="E139" i="6"/>
  <c r="H139" i="6"/>
  <c r="I139" i="6"/>
  <c r="J139" i="6"/>
  <c r="E140" i="6"/>
  <c r="H140" i="6"/>
  <c r="I140" i="6"/>
  <c r="J140" i="6"/>
  <c r="E141" i="6"/>
  <c r="H141" i="6"/>
  <c r="I141" i="6"/>
  <c r="J141" i="6"/>
  <c r="E142" i="6"/>
  <c r="H142" i="6"/>
  <c r="I142" i="6"/>
  <c r="J142" i="6"/>
  <c r="E143" i="6"/>
  <c r="H143" i="6"/>
  <c r="I143" i="6"/>
  <c r="J143" i="6"/>
  <c r="E144" i="6"/>
  <c r="H144" i="6"/>
  <c r="I144" i="6"/>
  <c r="J144" i="6"/>
  <c r="E145" i="6"/>
  <c r="H145" i="6"/>
  <c r="I145" i="6"/>
  <c r="J145" i="6"/>
  <c r="E146" i="6"/>
  <c r="H146" i="6"/>
  <c r="I146" i="6"/>
  <c r="J146" i="6"/>
  <c r="E147" i="6"/>
  <c r="H147" i="6"/>
  <c r="I147" i="6"/>
  <c r="J147" i="6"/>
  <c r="E148" i="6"/>
  <c r="H148" i="6"/>
  <c r="I148" i="6"/>
  <c r="J148" i="6"/>
  <c r="E149" i="6"/>
  <c r="H149" i="6"/>
  <c r="I149" i="6"/>
  <c r="J149" i="6"/>
  <c r="E150" i="6"/>
  <c r="H150" i="6"/>
  <c r="I150" i="6"/>
  <c r="J150" i="6"/>
  <c r="E151" i="6"/>
  <c r="H151" i="6"/>
  <c r="I151" i="6"/>
  <c r="J151" i="6"/>
  <c r="E152" i="6"/>
  <c r="H152" i="6"/>
  <c r="I152" i="6"/>
  <c r="J152" i="6"/>
  <c r="E153" i="6"/>
  <c r="H153" i="6"/>
  <c r="I153" i="6"/>
  <c r="J153" i="6"/>
  <c r="E154" i="6"/>
  <c r="H154" i="6"/>
  <c r="I154" i="6"/>
  <c r="J154" i="6"/>
  <c r="E155" i="6"/>
  <c r="H155" i="6"/>
  <c r="I155" i="6"/>
  <c r="J155" i="6"/>
  <c r="E156" i="6"/>
  <c r="H156" i="6"/>
  <c r="I156" i="6"/>
  <c r="J156" i="6"/>
  <c r="E157" i="6"/>
  <c r="H157" i="6"/>
  <c r="I157" i="6"/>
  <c r="J157" i="6"/>
  <c r="E158" i="6"/>
  <c r="H158" i="6"/>
  <c r="I158" i="6"/>
  <c r="J158" i="6"/>
  <c r="E159" i="6"/>
  <c r="H159" i="6"/>
  <c r="I159" i="6"/>
  <c r="J159" i="6"/>
  <c r="E160" i="6"/>
  <c r="H160" i="6"/>
  <c r="I160" i="6"/>
  <c r="J160" i="6"/>
  <c r="E161" i="6"/>
  <c r="H161" i="6"/>
  <c r="I161" i="6"/>
  <c r="J161" i="6"/>
  <c r="E162" i="6"/>
  <c r="H162" i="6"/>
  <c r="I162" i="6"/>
  <c r="J162" i="6"/>
  <c r="E163" i="6"/>
  <c r="H163" i="6"/>
  <c r="I163" i="6"/>
  <c r="J163" i="6"/>
  <c r="E164" i="6"/>
  <c r="H164" i="6"/>
  <c r="I164" i="6"/>
  <c r="J164" i="6"/>
  <c r="E165" i="6"/>
  <c r="H165" i="6"/>
  <c r="I165" i="6"/>
  <c r="J165" i="6"/>
  <c r="E166" i="6"/>
  <c r="H166" i="6"/>
  <c r="I166" i="6"/>
  <c r="J166" i="6"/>
  <c r="E167" i="6"/>
  <c r="H167" i="6"/>
  <c r="I167" i="6"/>
  <c r="J167" i="6"/>
  <c r="E168" i="6"/>
  <c r="H168" i="6"/>
  <c r="I168" i="6"/>
  <c r="J168" i="6"/>
  <c r="E169" i="6"/>
  <c r="H169" i="6"/>
  <c r="I169" i="6"/>
  <c r="J169" i="6"/>
  <c r="E170" i="6"/>
  <c r="H170" i="6"/>
  <c r="I170" i="6"/>
  <c r="J170" i="6"/>
  <c r="E171" i="6"/>
  <c r="H171" i="6"/>
  <c r="I171" i="6"/>
  <c r="J171" i="6"/>
  <c r="E172" i="6"/>
  <c r="H172" i="6"/>
  <c r="I172" i="6"/>
  <c r="J172" i="6"/>
  <c r="E173" i="6"/>
  <c r="H173" i="6"/>
  <c r="I173" i="6"/>
  <c r="J173" i="6"/>
  <c r="E174" i="6"/>
  <c r="H174" i="6"/>
  <c r="I174" i="6"/>
  <c r="J174" i="6"/>
  <c r="E175" i="6"/>
  <c r="H175" i="6"/>
  <c r="I175" i="6"/>
  <c r="J175" i="6"/>
  <c r="E176" i="6"/>
  <c r="H176" i="6"/>
  <c r="I176" i="6"/>
  <c r="J176" i="6"/>
  <c r="E177" i="6"/>
  <c r="H177" i="6"/>
  <c r="I177" i="6"/>
  <c r="J177" i="6"/>
  <c r="E178" i="6"/>
  <c r="H178" i="6"/>
  <c r="I178" i="6"/>
  <c r="J178" i="6"/>
  <c r="E179" i="6"/>
  <c r="H179" i="6"/>
  <c r="I179" i="6"/>
  <c r="J179" i="6"/>
  <c r="E180" i="6"/>
  <c r="H180" i="6"/>
  <c r="I180" i="6"/>
  <c r="J180" i="6"/>
  <c r="E181" i="6"/>
  <c r="H181" i="6"/>
  <c r="I181" i="6"/>
  <c r="J181" i="6"/>
  <c r="E182" i="6"/>
  <c r="H182" i="6"/>
  <c r="I182" i="6"/>
  <c r="J182" i="6"/>
  <c r="E183" i="6"/>
  <c r="H183" i="6"/>
  <c r="I183" i="6"/>
  <c r="J183" i="6"/>
  <c r="E184" i="6"/>
  <c r="H184" i="6"/>
  <c r="I184" i="6"/>
  <c r="J184" i="6"/>
  <c r="E185" i="6"/>
  <c r="H185" i="6"/>
  <c r="I185" i="6"/>
  <c r="J185" i="6"/>
  <c r="E186" i="6"/>
  <c r="H186" i="6"/>
  <c r="I186" i="6"/>
  <c r="J186" i="6"/>
  <c r="E187" i="6"/>
  <c r="H187" i="6"/>
  <c r="I187" i="6"/>
  <c r="J187" i="6"/>
  <c r="E188" i="6"/>
  <c r="H188" i="6"/>
  <c r="I188" i="6"/>
  <c r="J188" i="6"/>
  <c r="E189" i="6"/>
  <c r="H189" i="6"/>
  <c r="I189" i="6"/>
  <c r="J189" i="6"/>
  <c r="E190" i="6"/>
  <c r="H190" i="6"/>
  <c r="I190" i="6"/>
  <c r="J190" i="6"/>
  <c r="E191" i="6"/>
  <c r="H191" i="6"/>
  <c r="I191" i="6"/>
  <c r="J191" i="6"/>
  <c r="E192" i="6"/>
  <c r="H192" i="6"/>
  <c r="I192" i="6"/>
  <c r="J192" i="6"/>
  <c r="E193" i="6"/>
  <c r="H193" i="6"/>
  <c r="I193" i="6"/>
  <c r="J193" i="6"/>
  <c r="E194" i="6"/>
  <c r="H194" i="6"/>
  <c r="I194" i="6"/>
  <c r="J194" i="6"/>
  <c r="E195" i="6"/>
  <c r="H195" i="6"/>
  <c r="I195" i="6"/>
  <c r="J195" i="6"/>
  <c r="E196" i="6"/>
  <c r="H196" i="6"/>
  <c r="I196" i="6"/>
  <c r="J196" i="6"/>
  <c r="E197" i="6"/>
  <c r="H197" i="6"/>
  <c r="I197" i="6"/>
  <c r="J197" i="6"/>
  <c r="E198" i="6"/>
  <c r="H198" i="6"/>
  <c r="I198" i="6"/>
  <c r="J198" i="6"/>
  <c r="E199" i="6"/>
  <c r="H199" i="6"/>
  <c r="I199" i="6"/>
  <c r="J199" i="6"/>
  <c r="E200" i="6"/>
  <c r="H200" i="6"/>
  <c r="I200" i="6"/>
  <c r="J200" i="6"/>
  <c r="E201" i="6"/>
  <c r="H201" i="6"/>
  <c r="I201" i="6"/>
  <c r="J201" i="6"/>
  <c r="E202" i="6"/>
  <c r="H202" i="6"/>
  <c r="I202" i="6"/>
  <c r="J202" i="6"/>
  <c r="E203" i="6"/>
  <c r="H203" i="6"/>
  <c r="I203" i="6"/>
  <c r="J203" i="6"/>
  <c r="E204" i="6"/>
  <c r="H204" i="6"/>
  <c r="I204" i="6"/>
  <c r="J204" i="6"/>
  <c r="E205" i="6"/>
  <c r="H205" i="6"/>
  <c r="I205" i="6"/>
  <c r="J205" i="6"/>
  <c r="E206" i="6"/>
  <c r="H206" i="6"/>
  <c r="I206" i="6"/>
  <c r="J206" i="6"/>
  <c r="E207" i="6"/>
  <c r="H207" i="6"/>
  <c r="I207" i="6"/>
  <c r="J207" i="6"/>
  <c r="E208" i="6"/>
  <c r="H208" i="6"/>
  <c r="I208" i="6"/>
  <c r="J208" i="6"/>
  <c r="E209" i="6"/>
  <c r="H209" i="6"/>
  <c r="I209" i="6"/>
  <c r="J209" i="6"/>
  <c r="E210" i="6"/>
  <c r="H210" i="6"/>
  <c r="I210" i="6"/>
  <c r="J210" i="6"/>
  <c r="E211" i="6"/>
  <c r="H211" i="6"/>
  <c r="I211" i="6"/>
  <c r="J211" i="6"/>
  <c r="E212" i="6"/>
  <c r="H212" i="6"/>
  <c r="I212" i="6"/>
  <c r="J212" i="6"/>
  <c r="E213" i="6"/>
  <c r="H213" i="6"/>
  <c r="I213" i="6"/>
  <c r="J213" i="6"/>
  <c r="E214" i="6"/>
  <c r="H214" i="6"/>
  <c r="I214" i="6"/>
  <c r="J214" i="6"/>
  <c r="E215" i="6"/>
  <c r="H215" i="6"/>
  <c r="I215" i="6"/>
  <c r="J215" i="6"/>
  <c r="E216" i="6"/>
  <c r="H216" i="6"/>
  <c r="I216" i="6"/>
  <c r="J216" i="6"/>
  <c r="E217" i="6"/>
  <c r="H217" i="6"/>
  <c r="I217" i="6"/>
  <c r="J217" i="6"/>
  <c r="E218" i="6"/>
  <c r="H218" i="6"/>
  <c r="I218" i="6"/>
  <c r="J218" i="6"/>
  <c r="E219" i="6"/>
  <c r="H219" i="6"/>
  <c r="I219" i="6"/>
  <c r="J219" i="6"/>
  <c r="E220" i="6"/>
  <c r="H220" i="6"/>
  <c r="I220" i="6"/>
  <c r="J220" i="6"/>
  <c r="E221" i="6"/>
  <c r="H221" i="6"/>
  <c r="I221" i="6"/>
  <c r="J221" i="6"/>
  <c r="E222" i="6"/>
  <c r="H222" i="6"/>
  <c r="I222" i="6"/>
  <c r="J222" i="6"/>
  <c r="E223" i="6"/>
  <c r="H223" i="6"/>
  <c r="I223" i="6"/>
  <c r="J223" i="6"/>
  <c r="E224" i="6"/>
  <c r="H224" i="6"/>
  <c r="I224" i="6"/>
  <c r="J224" i="6"/>
  <c r="E225" i="6"/>
  <c r="H225" i="6"/>
  <c r="I225" i="6"/>
  <c r="J225" i="6"/>
  <c r="E226" i="6"/>
  <c r="H226" i="6"/>
  <c r="I226" i="6"/>
  <c r="J226" i="6"/>
  <c r="E227" i="6"/>
  <c r="H227" i="6"/>
  <c r="I227" i="6"/>
  <c r="J227" i="6"/>
  <c r="E228" i="6"/>
  <c r="H228" i="6"/>
  <c r="I228" i="6"/>
  <c r="J228" i="6"/>
  <c r="E229" i="6"/>
  <c r="H229" i="6"/>
  <c r="I229" i="6"/>
  <c r="J229" i="6"/>
  <c r="E230" i="6"/>
  <c r="H230" i="6"/>
  <c r="I230" i="6"/>
  <c r="J230" i="6"/>
  <c r="E231" i="6"/>
  <c r="H231" i="6"/>
  <c r="I231" i="6"/>
  <c r="J231" i="6"/>
  <c r="E232" i="6"/>
  <c r="H232" i="6"/>
  <c r="I232" i="6"/>
  <c r="J232" i="6"/>
  <c r="E233" i="6"/>
  <c r="H233" i="6"/>
  <c r="I233" i="6"/>
  <c r="J233" i="6"/>
  <c r="E234" i="6"/>
  <c r="H234" i="6"/>
  <c r="I234" i="6"/>
  <c r="J234" i="6"/>
  <c r="E235" i="6"/>
  <c r="H235" i="6"/>
  <c r="I235" i="6"/>
  <c r="J235" i="6"/>
  <c r="E236" i="6"/>
  <c r="H236" i="6"/>
  <c r="I236" i="6"/>
  <c r="J236" i="6"/>
  <c r="E237" i="6"/>
  <c r="H237" i="6"/>
  <c r="I237" i="6"/>
  <c r="J237" i="6"/>
  <c r="E238" i="6"/>
  <c r="H238" i="6"/>
  <c r="I238" i="6"/>
  <c r="J238" i="6"/>
  <c r="E239" i="6"/>
  <c r="H239" i="6"/>
  <c r="I239" i="6"/>
  <c r="J239" i="6"/>
  <c r="E240" i="6"/>
  <c r="H240" i="6"/>
  <c r="I240" i="6"/>
  <c r="J240" i="6"/>
  <c r="E241" i="6"/>
  <c r="H241" i="6"/>
  <c r="I241" i="6"/>
  <c r="J241" i="6"/>
  <c r="E242" i="6"/>
  <c r="H242" i="6"/>
  <c r="I242" i="6"/>
  <c r="J242" i="6"/>
  <c r="E243" i="6"/>
  <c r="H243" i="6"/>
  <c r="I243" i="6"/>
  <c r="J243" i="6"/>
  <c r="E244" i="6"/>
  <c r="H244" i="6"/>
  <c r="I244" i="6"/>
  <c r="J244" i="6"/>
  <c r="E245" i="6"/>
  <c r="H245" i="6"/>
  <c r="I245" i="6"/>
  <c r="J245" i="6"/>
  <c r="E246" i="6"/>
  <c r="H246" i="6"/>
  <c r="I246" i="6"/>
  <c r="J246" i="6"/>
  <c r="E247" i="6"/>
  <c r="H247" i="6"/>
  <c r="I247" i="6"/>
  <c r="J247" i="6"/>
  <c r="E248" i="6"/>
  <c r="H248" i="6"/>
  <c r="I248" i="6"/>
  <c r="J248" i="6"/>
  <c r="E249" i="6"/>
  <c r="H249" i="6"/>
  <c r="I249" i="6"/>
  <c r="J249" i="6"/>
  <c r="E250" i="6"/>
  <c r="H250" i="6"/>
  <c r="I250" i="6"/>
  <c r="J250" i="6"/>
  <c r="E251" i="6"/>
  <c r="H251" i="6"/>
  <c r="I251" i="6"/>
  <c r="J251" i="6"/>
  <c r="E252" i="6"/>
  <c r="H252" i="6"/>
  <c r="I252" i="6"/>
  <c r="J252" i="6"/>
  <c r="E253" i="6"/>
  <c r="H253" i="6"/>
  <c r="I253" i="6"/>
  <c r="J253" i="6"/>
  <c r="E254" i="6"/>
  <c r="H254" i="6"/>
  <c r="I254" i="6"/>
  <c r="J254" i="6"/>
  <c r="E255" i="6"/>
  <c r="H255" i="6"/>
  <c r="I255" i="6"/>
  <c r="J255" i="6"/>
  <c r="E256" i="6"/>
  <c r="H256" i="6"/>
  <c r="I256" i="6"/>
  <c r="J256" i="6"/>
  <c r="E257" i="6"/>
  <c r="H257" i="6"/>
  <c r="I257" i="6"/>
  <c r="J257" i="6"/>
  <c r="E258" i="6"/>
  <c r="H258" i="6"/>
  <c r="I258" i="6"/>
  <c r="J258" i="6"/>
  <c r="E259" i="6"/>
  <c r="H259" i="6"/>
  <c r="I259" i="6"/>
  <c r="J259" i="6"/>
  <c r="E260" i="6"/>
  <c r="H260" i="6"/>
  <c r="I260" i="6"/>
  <c r="J260" i="6"/>
  <c r="E261" i="6"/>
  <c r="H261" i="6"/>
  <c r="I261" i="6"/>
  <c r="J261" i="6"/>
  <c r="E262" i="6"/>
  <c r="H262" i="6"/>
  <c r="I262" i="6"/>
  <c r="J262" i="6"/>
  <c r="E263" i="6"/>
  <c r="H263" i="6"/>
  <c r="I263" i="6"/>
  <c r="J263" i="6"/>
  <c r="E264" i="6"/>
  <c r="H264" i="6"/>
  <c r="I264" i="6"/>
  <c r="J264" i="6"/>
  <c r="E265" i="6"/>
  <c r="H265" i="6"/>
  <c r="I265" i="6"/>
  <c r="J265" i="6"/>
  <c r="E266" i="6"/>
  <c r="H266" i="6"/>
  <c r="I266" i="6"/>
  <c r="J266" i="6"/>
  <c r="E267" i="6"/>
  <c r="H267" i="6"/>
  <c r="I267" i="6"/>
  <c r="J267" i="6"/>
  <c r="E268" i="6"/>
  <c r="H268" i="6"/>
  <c r="I268" i="6"/>
  <c r="J268" i="6"/>
  <c r="E269" i="6"/>
  <c r="H269" i="6"/>
  <c r="I269" i="6"/>
  <c r="J269" i="6"/>
  <c r="E270" i="6"/>
  <c r="H270" i="6"/>
  <c r="I270" i="6"/>
  <c r="J270" i="6"/>
  <c r="E271" i="6"/>
  <c r="H271" i="6"/>
  <c r="I271" i="6"/>
  <c r="J271" i="6"/>
  <c r="E272" i="6"/>
  <c r="H272" i="6"/>
  <c r="I272" i="6"/>
  <c r="J272" i="6"/>
  <c r="E273" i="6"/>
  <c r="H273" i="6"/>
  <c r="I273" i="6"/>
  <c r="J273" i="6"/>
  <c r="E274" i="6"/>
  <c r="H274" i="6"/>
  <c r="I274" i="6"/>
  <c r="J274" i="6"/>
  <c r="E275" i="6"/>
  <c r="H275" i="6"/>
  <c r="I275" i="6"/>
  <c r="J275" i="6"/>
  <c r="E276" i="6"/>
  <c r="H276" i="6"/>
  <c r="I276" i="6"/>
  <c r="J276" i="6"/>
  <c r="E277" i="6"/>
  <c r="H277" i="6"/>
  <c r="I277" i="6"/>
  <c r="J277" i="6"/>
  <c r="E278" i="6"/>
  <c r="H278" i="6"/>
  <c r="I278" i="6"/>
  <c r="J278" i="6"/>
  <c r="E279" i="6"/>
  <c r="H279" i="6"/>
  <c r="I279" i="6"/>
  <c r="J279" i="6"/>
  <c r="E280" i="6"/>
  <c r="H280" i="6"/>
  <c r="I280" i="6"/>
  <c r="J280" i="6"/>
  <c r="E281" i="6"/>
  <c r="H281" i="6"/>
  <c r="I281" i="6"/>
  <c r="J281" i="6"/>
  <c r="E282" i="6"/>
  <c r="H282" i="6"/>
  <c r="I282" i="6"/>
  <c r="J282" i="6"/>
  <c r="E283" i="6"/>
  <c r="H283" i="6"/>
  <c r="I283" i="6"/>
  <c r="J283" i="6"/>
  <c r="E284" i="6"/>
  <c r="H284" i="6"/>
  <c r="I284" i="6"/>
  <c r="J284" i="6"/>
  <c r="E285" i="6"/>
  <c r="H285" i="6"/>
  <c r="I285" i="6"/>
  <c r="J285" i="6"/>
  <c r="E286" i="6"/>
  <c r="H286" i="6"/>
  <c r="I286" i="6"/>
  <c r="J286" i="6"/>
  <c r="E287" i="6"/>
  <c r="H287" i="6"/>
  <c r="I287" i="6"/>
  <c r="J287" i="6"/>
  <c r="E288" i="6"/>
  <c r="H288" i="6"/>
  <c r="I288" i="6"/>
  <c r="J288" i="6"/>
  <c r="E289" i="6"/>
  <c r="H289" i="6"/>
  <c r="I289" i="6"/>
  <c r="J289" i="6"/>
  <c r="E290" i="6"/>
  <c r="H290" i="6"/>
  <c r="I290" i="6"/>
  <c r="J290" i="6"/>
  <c r="E291" i="6"/>
  <c r="H291" i="6"/>
  <c r="I291" i="6"/>
  <c r="J291" i="6"/>
  <c r="E292" i="6"/>
  <c r="H292" i="6"/>
  <c r="I292" i="6"/>
  <c r="J292" i="6"/>
  <c r="E293" i="6"/>
  <c r="H293" i="6"/>
  <c r="I293" i="6"/>
  <c r="J293" i="6"/>
  <c r="E294" i="6"/>
  <c r="H294" i="6"/>
  <c r="I294" i="6"/>
  <c r="J294" i="6"/>
  <c r="E295" i="6"/>
  <c r="H295" i="6"/>
  <c r="I295" i="6"/>
  <c r="J295" i="6"/>
  <c r="E296" i="6"/>
  <c r="H296" i="6"/>
  <c r="I296" i="6"/>
  <c r="J296" i="6"/>
  <c r="E297" i="6"/>
  <c r="H297" i="6"/>
  <c r="I297" i="6"/>
  <c r="J297" i="6"/>
  <c r="E298" i="6"/>
  <c r="H298" i="6"/>
  <c r="I298" i="6"/>
  <c r="J298" i="6"/>
  <c r="E299" i="6"/>
  <c r="H299" i="6"/>
  <c r="I299" i="6"/>
  <c r="J299" i="6"/>
  <c r="E300" i="6"/>
  <c r="H300" i="6"/>
  <c r="I300" i="6"/>
  <c r="J300" i="6"/>
  <c r="E301" i="6"/>
  <c r="H301" i="6"/>
  <c r="I301" i="6"/>
  <c r="J301" i="6"/>
  <c r="E302" i="6"/>
  <c r="H302" i="6"/>
  <c r="I302" i="6"/>
  <c r="J302" i="6"/>
  <c r="E303" i="6"/>
  <c r="H303" i="6"/>
  <c r="I303" i="6"/>
  <c r="J303" i="6"/>
  <c r="E304" i="6"/>
  <c r="H304" i="6"/>
  <c r="I304" i="6"/>
  <c r="J304" i="6"/>
  <c r="E305" i="6"/>
  <c r="H305" i="6"/>
  <c r="I305" i="6"/>
  <c r="J305" i="6"/>
  <c r="E306" i="6"/>
  <c r="H306" i="6"/>
  <c r="I306" i="6"/>
  <c r="J306" i="6"/>
  <c r="E307" i="6"/>
  <c r="H307" i="6"/>
  <c r="I307" i="6"/>
  <c r="J307" i="6"/>
  <c r="E308" i="6"/>
  <c r="H308" i="6"/>
  <c r="I308" i="6"/>
  <c r="J308" i="6"/>
  <c r="E309" i="6"/>
  <c r="H309" i="6"/>
  <c r="I309" i="6"/>
  <c r="J309" i="6"/>
  <c r="E310" i="6"/>
  <c r="H310" i="6"/>
  <c r="I310" i="6"/>
  <c r="J310" i="6"/>
  <c r="E311" i="6"/>
  <c r="H311" i="6"/>
  <c r="I311" i="6"/>
  <c r="J311" i="6"/>
  <c r="E312" i="6"/>
  <c r="H312" i="6"/>
  <c r="I312" i="6"/>
  <c r="J312" i="6"/>
  <c r="E313" i="6"/>
  <c r="H313" i="6"/>
  <c r="I313" i="6"/>
  <c r="J313" i="6"/>
  <c r="E314" i="6"/>
  <c r="H314" i="6"/>
  <c r="I314" i="6"/>
  <c r="J314" i="6"/>
  <c r="E315" i="6"/>
  <c r="H315" i="6"/>
  <c r="I315" i="6"/>
  <c r="J315" i="6"/>
  <c r="E316" i="6"/>
  <c r="H316" i="6"/>
  <c r="I316" i="6"/>
  <c r="J316" i="6"/>
  <c r="E317" i="6"/>
  <c r="H317" i="6"/>
  <c r="I317" i="6"/>
  <c r="J317" i="6"/>
  <c r="E318" i="6"/>
  <c r="H318" i="6"/>
  <c r="I318" i="6"/>
  <c r="J318" i="6"/>
  <c r="E319" i="6"/>
  <c r="H319" i="6"/>
  <c r="I319" i="6"/>
  <c r="J319" i="6"/>
  <c r="E320" i="6"/>
  <c r="H320" i="6"/>
  <c r="I320" i="6"/>
  <c r="J320" i="6"/>
  <c r="E321" i="6"/>
  <c r="H321" i="6"/>
  <c r="I321" i="6"/>
  <c r="J321" i="6"/>
  <c r="E322" i="6"/>
  <c r="H322" i="6"/>
  <c r="I322" i="6"/>
  <c r="J322" i="6"/>
  <c r="E323" i="6"/>
  <c r="H323" i="6"/>
  <c r="I323" i="6"/>
  <c r="J323" i="6"/>
  <c r="E324" i="6"/>
  <c r="H324" i="6"/>
  <c r="I324" i="6"/>
  <c r="J324" i="6"/>
  <c r="E325" i="6"/>
  <c r="H325" i="6"/>
  <c r="I325" i="6"/>
  <c r="J325" i="6"/>
  <c r="E326" i="6"/>
  <c r="H326" i="6"/>
  <c r="I326" i="6"/>
  <c r="J326" i="6"/>
  <c r="E327" i="6"/>
  <c r="H327" i="6"/>
  <c r="I327" i="6"/>
  <c r="J327" i="6"/>
  <c r="E328" i="6"/>
  <c r="H328" i="6"/>
  <c r="I328" i="6"/>
  <c r="J328" i="6"/>
  <c r="E329" i="6"/>
  <c r="H329" i="6"/>
  <c r="I329" i="6"/>
  <c r="J329" i="6"/>
  <c r="E330" i="6"/>
  <c r="H330" i="6"/>
  <c r="I330" i="6"/>
  <c r="J330" i="6"/>
  <c r="E331" i="6"/>
  <c r="H331" i="6"/>
  <c r="I331" i="6"/>
  <c r="J331" i="6"/>
  <c r="E332" i="6"/>
  <c r="H332" i="6"/>
  <c r="I332" i="6"/>
  <c r="J332" i="6"/>
  <c r="E333" i="6"/>
  <c r="H333" i="6"/>
  <c r="I333" i="6"/>
  <c r="J333" i="6"/>
  <c r="E334" i="6"/>
  <c r="H334" i="6"/>
  <c r="I334" i="6"/>
  <c r="J334" i="6"/>
  <c r="E335" i="6"/>
  <c r="H335" i="6"/>
  <c r="I335" i="6"/>
  <c r="J335" i="6"/>
  <c r="E336" i="6"/>
  <c r="H336" i="6"/>
  <c r="I336" i="6"/>
  <c r="J336" i="6"/>
  <c r="E337" i="6"/>
  <c r="H337" i="6"/>
  <c r="I337" i="6"/>
  <c r="J337" i="6"/>
  <c r="E338" i="6"/>
  <c r="H338" i="6"/>
  <c r="I338" i="6"/>
  <c r="J338" i="6"/>
  <c r="E339" i="6"/>
  <c r="H339" i="6"/>
  <c r="I339" i="6"/>
  <c r="J339" i="6"/>
  <c r="E340" i="6"/>
  <c r="H340" i="6"/>
  <c r="I340" i="6"/>
  <c r="J340" i="6"/>
  <c r="E341" i="6"/>
  <c r="H341" i="6"/>
  <c r="I341" i="6"/>
  <c r="J341" i="6"/>
  <c r="E342" i="6"/>
  <c r="H342" i="6"/>
  <c r="I342" i="6"/>
  <c r="J342" i="6"/>
  <c r="E343" i="6"/>
  <c r="H343" i="6"/>
  <c r="I343" i="6"/>
  <c r="J343" i="6"/>
  <c r="E344" i="6"/>
  <c r="H344" i="6"/>
  <c r="I344" i="6"/>
  <c r="J344" i="6"/>
  <c r="E345" i="6"/>
  <c r="H345" i="6"/>
  <c r="I345" i="6"/>
  <c r="J345" i="6"/>
  <c r="E346" i="6"/>
  <c r="H346" i="6"/>
  <c r="I346" i="6"/>
  <c r="J346" i="6"/>
  <c r="E347" i="6"/>
  <c r="H347" i="6"/>
  <c r="I347" i="6"/>
  <c r="J347" i="6"/>
  <c r="E348" i="6"/>
  <c r="H348" i="6"/>
  <c r="I348" i="6"/>
  <c r="J348" i="6"/>
  <c r="E349" i="6"/>
  <c r="H349" i="6"/>
  <c r="I349" i="6"/>
  <c r="J349" i="6"/>
  <c r="E350" i="6"/>
  <c r="H350" i="6"/>
  <c r="I350" i="6"/>
  <c r="J350" i="6"/>
  <c r="E351" i="6"/>
  <c r="H351" i="6"/>
  <c r="I351" i="6"/>
  <c r="J351" i="6"/>
  <c r="E352" i="6"/>
  <c r="H352" i="6"/>
  <c r="I352" i="6"/>
  <c r="J352" i="6"/>
  <c r="E353" i="6"/>
  <c r="H353" i="6"/>
  <c r="I353" i="6"/>
  <c r="J353" i="6"/>
  <c r="E354" i="6"/>
  <c r="H354" i="6"/>
  <c r="I354" i="6"/>
  <c r="J354" i="6"/>
  <c r="E355" i="6"/>
  <c r="H355" i="6"/>
  <c r="I355" i="6"/>
  <c r="J355" i="6"/>
  <c r="E356" i="6"/>
  <c r="H356" i="6"/>
  <c r="I356" i="6"/>
  <c r="J356" i="6"/>
  <c r="E357" i="6"/>
  <c r="H357" i="6"/>
  <c r="I357" i="6"/>
  <c r="J357" i="6"/>
  <c r="E358" i="6"/>
  <c r="H358" i="6"/>
  <c r="I358" i="6"/>
  <c r="J358" i="6"/>
  <c r="E359" i="6"/>
  <c r="H359" i="6"/>
  <c r="I359" i="6"/>
  <c r="J359" i="6"/>
  <c r="E360" i="6"/>
  <c r="H360" i="6"/>
  <c r="I360" i="6"/>
  <c r="J360" i="6"/>
  <c r="E361" i="6"/>
  <c r="H361" i="6"/>
  <c r="I361" i="6"/>
  <c r="J361" i="6"/>
  <c r="E362" i="6"/>
  <c r="H362" i="6"/>
  <c r="I362" i="6"/>
  <c r="J362" i="6"/>
  <c r="E363" i="6"/>
  <c r="H363" i="6"/>
  <c r="I363" i="6"/>
  <c r="J363" i="6"/>
  <c r="E364" i="6"/>
  <c r="H364" i="6"/>
  <c r="I364" i="6"/>
  <c r="J364" i="6"/>
  <c r="E365" i="6"/>
  <c r="H365" i="6"/>
  <c r="I365" i="6"/>
  <c r="J365" i="6"/>
  <c r="E366" i="6"/>
  <c r="H366" i="6"/>
  <c r="I366" i="6"/>
  <c r="J366" i="6"/>
  <c r="E367" i="6"/>
  <c r="H367" i="6"/>
  <c r="I367" i="6"/>
  <c r="J367" i="6"/>
  <c r="E368" i="6"/>
  <c r="H368" i="6"/>
  <c r="I368" i="6"/>
  <c r="J368" i="6"/>
  <c r="E369" i="6"/>
  <c r="H369" i="6"/>
  <c r="I369" i="6"/>
  <c r="J369" i="6"/>
  <c r="E370" i="6"/>
  <c r="H370" i="6"/>
  <c r="I370" i="6"/>
  <c r="J370" i="6"/>
  <c r="E371" i="6"/>
  <c r="H371" i="6"/>
  <c r="I371" i="6"/>
  <c r="J371" i="6"/>
  <c r="E372" i="6"/>
  <c r="H372" i="6"/>
  <c r="I372" i="6"/>
  <c r="J372" i="6"/>
  <c r="E373" i="6"/>
  <c r="H373" i="6"/>
  <c r="I373" i="6"/>
  <c r="J373" i="6"/>
  <c r="E374" i="6"/>
  <c r="H374" i="6"/>
  <c r="I374" i="6"/>
  <c r="J374" i="6"/>
  <c r="E375" i="6"/>
  <c r="H375" i="6"/>
  <c r="I375" i="6"/>
  <c r="J375" i="6"/>
  <c r="E376" i="6"/>
  <c r="H376" i="6"/>
  <c r="I376" i="6"/>
  <c r="J376" i="6"/>
  <c r="E377" i="6"/>
  <c r="H377" i="6"/>
  <c r="I377" i="6"/>
  <c r="J377" i="6"/>
  <c r="E378" i="6"/>
  <c r="H378" i="6"/>
  <c r="I378" i="6"/>
  <c r="J378" i="6"/>
  <c r="E379" i="6"/>
  <c r="H379" i="6"/>
  <c r="I379" i="6"/>
  <c r="J379" i="6"/>
  <c r="E380" i="6"/>
  <c r="H380" i="6"/>
  <c r="I380" i="6"/>
  <c r="J380" i="6"/>
  <c r="E381" i="6"/>
  <c r="H381" i="6"/>
  <c r="I381" i="6"/>
  <c r="J381" i="6"/>
  <c r="E382" i="6"/>
  <c r="H382" i="6"/>
  <c r="I382" i="6"/>
  <c r="J382" i="6"/>
  <c r="E383" i="6"/>
  <c r="H383" i="6"/>
  <c r="I383" i="6"/>
  <c r="J383" i="6"/>
  <c r="E384" i="6"/>
  <c r="H384" i="6"/>
  <c r="I384" i="6"/>
  <c r="J384" i="6"/>
  <c r="E385" i="6"/>
  <c r="H385" i="6"/>
  <c r="I385" i="6"/>
  <c r="J385" i="6"/>
  <c r="E386" i="6"/>
  <c r="H386" i="6"/>
  <c r="I386" i="6"/>
  <c r="J386" i="6"/>
  <c r="E387" i="6"/>
  <c r="H387" i="6"/>
  <c r="I387" i="6"/>
  <c r="J387" i="6"/>
  <c r="E388" i="6"/>
  <c r="H388" i="6"/>
  <c r="I388" i="6"/>
  <c r="J388" i="6"/>
  <c r="E389" i="6"/>
  <c r="H389" i="6"/>
  <c r="I389" i="6"/>
  <c r="J389" i="6"/>
  <c r="E390" i="6"/>
  <c r="H390" i="6"/>
  <c r="I390" i="6"/>
  <c r="J390" i="6"/>
  <c r="E391" i="6"/>
  <c r="H391" i="6"/>
  <c r="I391" i="6"/>
  <c r="J391" i="6"/>
  <c r="E392" i="6"/>
  <c r="H392" i="6"/>
  <c r="I392" i="6"/>
  <c r="J392" i="6"/>
  <c r="E393" i="6"/>
  <c r="H393" i="6"/>
  <c r="I393" i="6"/>
  <c r="J393" i="6"/>
  <c r="E394" i="6"/>
  <c r="H394" i="6"/>
  <c r="I394" i="6"/>
  <c r="J394" i="6"/>
  <c r="E395" i="6"/>
  <c r="H395" i="6"/>
  <c r="I395" i="6"/>
  <c r="J395" i="6"/>
  <c r="E396" i="6"/>
  <c r="H396" i="6"/>
  <c r="I396" i="6"/>
  <c r="J396" i="6"/>
  <c r="E397" i="6"/>
  <c r="H397" i="6"/>
  <c r="I397" i="6"/>
  <c r="J397" i="6"/>
  <c r="E398" i="6"/>
  <c r="H398" i="6"/>
  <c r="I398" i="6"/>
  <c r="J398" i="6"/>
  <c r="E399" i="6"/>
  <c r="H399" i="6"/>
  <c r="I399" i="6"/>
  <c r="J399" i="6"/>
  <c r="E400" i="6"/>
  <c r="H400" i="6"/>
  <c r="I400" i="6"/>
  <c r="J400" i="6"/>
  <c r="E401" i="6"/>
  <c r="H401" i="6"/>
  <c r="I401" i="6"/>
  <c r="J401" i="6"/>
  <c r="E402" i="6"/>
  <c r="H402" i="6"/>
  <c r="I402" i="6"/>
  <c r="J402" i="6"/>
  <c r="E403" i="6"/>
  <c r="H403" i="6"/>
  <c r="I403" i="6"/>
  <c r="J403" i="6"/>
  <c r="E404" i="6"/>
  <c r="H404" i="6"/>
  <c r="I404" i="6"/>
  <c r="J404" i="6"/>
  <c r="E405" i="6"/>
  <c r="H405" i="6"/>
  <c r="I405" i="6"/>
  <c r="J405" i="6"/>
  <c r="E406" i="6"/>
  <c r="H406" i="6"/>
  <c r="I406" i="6"/>
  <c r="J406" i="6"/>
  <c r="E407" i="6"/>
  <c r="H407" i="6"/>
  <c r="I407" i="6"/>
  <c r="J407" i="6"/>
  <c r="E408" i="6"/>
  <c r="H408" i="6"/>
  <c r="I408" i="6"/>
  <c r="J408" i="6"/>
  <c r="E409" i="6"/>
  <c r="H409" i="6"/>
  <c r="I409" i="6"/>
  <c r="J409" i="6"/>
  <c r="E410" i="6"/>
  <c r="H410" i="6"/>
  <c r="I410" i="6"/>
  <c r="J410" i="6"/>
  <c r="E411" i="6"/>
  <c r="H411" i="6"/>
  <c r="I411" i="6"/>
  <c r="J411" i="6"/>
  <c r="E412" i="6"/>
  <c r="H412" i="6"/>
  <c r="I412" i="6"/>
  <c r="J412" i="6"/>
  <c r="E413" i="6"/>
  <c r="H413" i="6"/>
  <c r="I413" i="6"/>
  <c r="J413" i="6"/>
  <c r="E414" i="6"/>
  <c r="H414" i="6"/>
  <c r="I414" i="6"/>
  <c r="J414" i="6"/>
  <c r="E415" i="6"/>
  <c r="H415" i="6"/>
  <c r="I415" i="6"/>
  <c r="J415" i="6"/>
  <c r="E416" i="6"/>
  <c r="H416" i="6"/>
  <c r="I416" i="6"/>
  <c r="J416" i="6"/>
  <c r="E417" i="6"/>
  <c r="H417" i="6"/>
  <c r="I417" i="6"/>
  <c r="J417" i="6"/>
  <c r="E418" i="6"/>
  <c r="H418" i="6"/>
  <c r="I418" i="6"/>
  <c r="J418" i="6"/>
  <c r="E419" i="6"/>
  <c r="H419" i="6"/>
  <c r="I419" i="6"/>
  <c r="J419" i="6"/>
  <c r="E420" i="6"/>
  <c r="H420" i="6"/>
  <c r="I420" i="6"/>
  <c r="J420" i="6"/>
  <c r="E421" i="6"/>
  <c r="H421" i="6"/>
  <c r="I421" i="6"/>
  <c r="J421" i="6"/>
  <c r="E422" i="6"/>
  <c r="H422" i="6"/>
  <c r="I422" i="6"/>
  <c r="J422" i="6"/>
  <c r="E423" i="6"/>
  <c r="H423" i="6"/>
  <c r="I423" i="6"/>
  <c r="J423" i="6"/>
  <c r="E424" i="6"/>
  <c r="H424" i="6"/>
  <c r="I424" i="6"/>
  <c r="J424" i="6"/>
  <c r="E425" i="6"/>
  <c r="H425" i="6"/>
  <c r="I425" i="6"/>
  <c r="J425" i="6"/>
  <c r="E426" i="6"/>
  <c r="H426" i="6"/>
  <c r="I426" i="6"/>
  <c r="J426" i="6"/>
  <c r="E427" i="6"/>
  <c r="H427" i="6"/>
  <c r="I427" i="6"/>
  <c r="J427" i="6"/>
  <c r="E428" i="6"/>
  <c r="H428" i="6"/>
  <c r="I428" i="6"/>
  <c r="J428" i="6"/>
  <c r="E429" i="6"/>
  <c r="H429" i="6"/>
  <c r="I429" i="6"/>
  <c r="J429" i="6"/>
  <c r="E430" i="6"/>
  <c r="H430" i="6"/>
  <c r="I430" i="6"/>
  <c r="J430" i="6"/>
  <c r="E431" i="6"/>
  <c r="H431" i="6"/>
  <c r="I431" i="6"/>
  <c r="J431" i="6"/>
  <c r="E432" i="6"/>
  <c r="H432" i="6"/>
  <c r="I432" i="6"/>
  <c r="J432" i="6"/>
  <c r="E433" i="6"/>
  <c r="H433" i="6"/>
  <c r="I433" i="6"/>
  <c r="J433" i="6"/>
  <c r="E434" i="6"/>
  <c r="H434" i="6"/>
  <c r="I434" i="6"/>
  <c r="J434" i="6"/>
  <c r="E435" i="6"/>
  <c r="H435" i="6"/>
  <c r="I435" i="6"/>
  <c r="J435" i="6"/>
  <c r="E436" i="6"/>
  <c r="H436" i="6"/>
  <c r="I436" i="6"/>
  <c r="J436" i="6"/>
  <c r="E437" i="6"/>
  <c r="H437" i="6"/>
  <c r="I437" i="6"/>
  <c r="J437" i="6"/>
  <c r="E438" i="6"/>
  <c r="H438" i="6"/>
  <c r="I438" i="6"/>
  <c r="J438" i="6"/>
  <c r="E439" i="6"/>
  <c r="H439" i="6"/>
  <c r="I439" i="6"/>
  <c r="J439" i="6"/>
  <c r="E440" i="6"/>
  <c r="H440" i="6"/>
  <c r="I440" i="6"/>
  <c r="J440" i="6"/>
  <c r="E441" i="6"/>
  <c r="H441" i="6"/>
  <c r="I441" i="6"/>
  <c r="J441" i="6"/>
  <c r="E442" i="6"/>
  <c r="H442" i="6"/>
  <c r="I442" i="6"/>
  <c r="J442" i="6"/>
  <c r="E443" i="6"/>
  <c r="H443" i="6"/>
  <c r="I443" i="6"/>
  <c r="J443" i="6"/>
  <c r="E444" i="6"/>
  <c r="H444" i="6"/>
  <c r="I444" i="6"/>
  <c r="J444" i="6"/>
  <c r="E445" i="6"/>
  <c r="H445" i="6"/>
  <c r="I445" i="6"/>
  <c r="J445" i="6"/>
  <c r="E446" i="6"/>
  <c r="H446" i="6"/>
  <c r="I446" i="6"/>
  <c r="J446" i="6"/>
  <c r="E447" i="6"/>
  <c r="H447" i="6"/>
  <c r="I447" i="6"/>
  <c r="J447" i="6"/>
  <c r="E448" i="6"/>
  <c r="H448" i="6"/>
  <c r="I448" i="6"/>
  <c r="J448" i="6"/>
  <c r="E449" i="6"/>
  <c r="H449" i="6"/>
  <c r="I449" i="6"/>
  <c r="J449" i="6"/>
  <c r="E450" i="6"/>
  <c r="H450" i="6"/>
  <c r="I450" i="6"/>
  <c r="J450" i="6"/>
  <c r="E451" i="6"/>
  <c r="H451" i="6"/>
  <c r="I451" i="6"/>
  <c r="J451" i="6"/>
  <c r="E452" i="6"/>
  <c r="H452" i="6"/>
  <c r="I452" i="6"/>
  <c r="J452" i="6"/>
  <c r="E453" i="6"/>
  <c r="H453" i="6"/>
  <c r="I453" i="6"/>
  <c r="J453" i="6"/>
  <c r="E454" i="6"/>
  <c r="H454" i="6"/>
  <c r="I454" i="6"/>
  <c r="J454" i="6"/>
  <c r="E455" i="6"/>
  <c r="H455" i="6"/>
  <c r="I455" i="6"/>
  <c r="J455" i="6"/>
  <c r="E456" i="6"/>
  <c r="H456" i="6"/>
  <c r="I456" i="6"/>
  <c r="J456" i="6"/>
  <c r="E457" i="6"/>
  <c r="H457" i="6"/>
  <c r="I457" i="6"/>
  <c r="J457" i="6"/>
  <c r="E458" i="6"/>
  <c r="H458" i="6"/>
  <c r="I458" i="6"/>
  <c r="J458" i="6"/>
  <c r="E459" i="6"/>
  <c r="H459" i="6"/>
  <c r="I459" i="6"/>
  <c r="J459" i="6"/>
  <c r="E460" i="6"/>
  <c r="H460" i="6"/>
  <c r="I460" i="6"/>
  <c r="J460" i="6"/>
  <c r="E461" i="6"/>
  <c r="H461" i="6"/>
  <c r="I461" i="6"/>
  <c r="J461" i="6"/>
  <c r="E462" i="6"/>
  <c r="H462" i="6"/>
  <c r="I462" i="6"/>
  <c r="J462" i="6"/>
  <c r="E463" i="6"/>
  <c r="H463" i="6"/>
  <c r="I463" i="6"/>
  <c r="J463" i="6"/>
  <c r="E464" i="6"/>
  <c r="H464" i="6"/>
  <c r="I464" i="6"/>
  <c r="J464" i="6"/>
  <c r="E465" i="6"/>
  <c r="H465" i="6"/>
  <c r="I465" i="6"/>
  <c r="J465" i="6"/>
  <c r="E466" i="6"/>
  <c r="H466" i="6"/>
  <c r="I466" i="6"/>
  <c r="J466" i="6"/>
  <c r="E467" i="6"/>
  <c r="H467" i="6"/>
  <c r="I467" i="6"/>
  <c r="J467" i="6"/>
  <c r="E468" i="6"/>
  <c r="H468" i="6"/>
  <c r="I468" i="6"/>
  <c r="J468" i="6"/>
  <c r="E469" i="6"/>
  <c r="H469" i="6"/>
  <c r="I469" i="6"/>
  <c r="J469" i="6"/>
  <c r="E470" i="6"/>
  <c r="H470" i="6"/>
  <c r="I470" i="6"/>
  <c r="J470" i="6"/>
  <c r="E471" i="6"/>
  <c r="H471" i="6"/>
  <c r="I471" i="6"/>
  <c r="J471" i="6"/>
  <c r="E472" i="6"/>
  <c r="H472" i="6"/>
  <c r="I472" i="6"/>
  <c r="J472" i="6"/>
  <c r="E473" i="6"/>
  <c r="H473" i="6"/>
  <c r="I473" i="6"/>
  <c r="J473" i="6"/>
  <c r="E474" i="6"/>
  <c r="H474" i="6"/>
  <c r="I474" i="6"/>
  <c r="J474" i="6"/>
  <c r="E475" i="6"/>
  <c r="H475" i="6"/>
  <c r="I475" i="6"/>
  <c r="J475" i="6"/>
  <c r="E476" i="6"/>
  <c r="H476" i="6"/>
  <c r="I476" i="6"/>
  <c r="J476" i="6"/>
  <c r="E477" i="6"/>
  <c r="H477" i="6"/>
  <c r="I477" i="6"/>
  <c r="J477" i="6"/>
  <c r="E478" i="6"/>
  <c r="H478" i="6"/>
  <c r="I478" i="6"/>
  <c r="J478" i="6"/>
  <c r="E479" i="6"/>
  <c r="H479" i="6"/>
  <c r="I479" i="6"/>
  <c r="J479" i="6"/>
  <c r="E480" i="6"/>
  <c r="H480" i="6"/>
  <c r="I480" i="6"/>
  <c r="J480" i="6"/>
  <c r="E481" i="6"/>
  <c r="H481" i="6"/>
  <c r="I481" i="6"/>
  <c r="J481" i="6"/>
  <c r="E482" i="6"/>
  <c r="H482" i="6"/>
  <c r="I482" i="6"/>
  <c r="J482" i="6"/>
  <c r="E483" i="6"/>
  <c r="H483" i="6"/>
  <c r="I483" i="6"/>
  <c r="J483" i="6"/>
  <c r="E484" i="6"/>
  <c r="H484" i="6"/>
  <c r="I484" i="6"/>
  <c r="J484" i="6"/>
  <c r="E485" i="6"/>
  <c r="H485" i="6"/>
  <c r="I485" i="6"/>
  <c r="J485" i="6"/>
  <c r="E486" i="6"/>
  <c r="H486" i="6"/>
  <c r="I486" i="6"/>
  <c r="J486" i="6"/>
  <c r="E487" i="6"/>
  <c r="H487" i="6"/>
  <c r="I487" i="6"/>
  <c r="J487" i="6"/>
  <c r="E488" i="6"/>
  <c r="H488" i="6"/>
  <c r="I488" i="6"/>
  <c r="J488" i="6"/>
  <c r="E489" i="6"/>
  <c r="H489" i="6"/>
  <c r="I489" i="6"/>
  <c r="J489" i="6"/>
  <c r="E490" i="6"/>
  <c r="H490" i="6"/>
  <c r="I490" i="6"/>
  <c r="J490" i="6"/>
  <c r="E491" i="6"/>
  <c r="H491" i="6"/>
  <c r="I491" i="6"/>
  <c r="J491" i="6"/>
  <c r="E492" i="6"/>
  <c r="H492" i="6"/>
  <c r="I492" i="6"/>
  <c r="J492" i="6"/>
  <c r="E493" i="6"/>
  <c r="H493" i="6"/>
  <c r="I493" i="6"/>
  <c r="J493" i="6"/>
  <c r="E494" i="6"/>
  <c r="H494" i="6"/>
  <c r="I494" i="6"/>
  <c r="J494" i="6"/>
  <c r="E495" i="6"/>
  <c r="H495" i="6"/>
  <c r="I495" i="6"/>
  <c r="J495" i="6"/>
  <c r="E496" i="6"/>
  <c r="H496" i="6"/>
  <c r="I496" i="6"/>
  <c r="J496" i="6"/>
  <c r="E497" i="6"/>
  <c r="H497" i="6"/>
  <c r="I497" i="6"/>
  <c r="J497" i="6"/>
  <c r="E498" i="6"/>
  <c r="H498" i="6"/>
  <c r="I498" i="6"/>
  <c r="J498" i="6"/>
  <c r="E499" i="6"/>
  <c r="H499" i="6"/>
  <c r="I499" i="6"/>
  <c r="J499" i="6"/>
  <c r="E500" i="6"/>
  <c r="H500" i="6"/>
  <c r="I500" i="6"/>
  <c r="J500" i="6"/>
  <c r="E501" i="6"/>
  <c r="H501" i="6"/>
  <c r="I501" i="6"/>
  <c r="J501" i="6"/>
  <c r="E502" i="6"/>
  <c r="H502" i="6"/>
  <c r="I502" i="6"/>
  <c r="J502" i="6"/>
  <c r="E503" i="6"/>
  <c r="H503" i="6"/>
  <c r="I503" i="6"/>
  <c r="J503" i="6"/>
  <c r="E504" i="6"/>
  <c r="H504" i="6"/>
  <c r="I504" i="6"/>
  <c r="J504" i="6"/>
  <c r="E505" i="6"/>
  <c r="H505" i="6"/>
  <c r="I505" i="6"/>
  <c r="J505" i="6"/>
  <c r="E506" i="6"/>
  <c r="H506" i="6"/>
  <c r="I506" i="6"/>
  <c r="J506" i="6"/>
  <c r="E507" i="6"/>
  <c r="H507" i="6"/>
  <c r="I507" i="6"/>
  <c r="J507" i="6"/>
  <c r="E508" i="6"/>
  <c r="H508" i="6"/>
  <c r="I508" i="6"/>
  <c r="J508" i="6"/>
  <c r="E509" i="6"/>
  <c r="H509" i="6"/>
  <c r="I509" i="6"/>
  <c r="J509" i="6"/>
  <c r="E510" i="6"/>
  <c r="H510" i="6"/>
  <c r="I510" i="6"/>
  <c r="J510" i="6"/>
  <c r="E511" i="6"/>
  <c r="H511" i="6"/>
  <c r="I511" i="6"/>
  <c r="J511" i="6"/>
  <c r="E512" i="6"/>
  <c r="H512" i="6"/>
  <c r="I512" i="6"/>
  <c r="J512" i="6"/>
  <c r="E513" i="6"/>
  <c r="H513" i="6"/>
  <c r="I513" i="6"/>
  <c r="J513" i="6"/>
  <c r="E514" i="6"/>
  <c r="H514" i="6"/>
  <c r="I514" i="6"/>
  <c r="J514" i="6"/>
  <c r="E515" i="6"/>
  <c r="H515" i="6"/>
  <c r="I515" i="6"/>
  <c r="J515" i="6"/>
  <c r="E516" i="6"/>
  <c r="H516" i="6"/>
  <c r="I516" i="6"/>
  <c r="J516" i="6"/>
  <c r="E517" i="6"/>
  <c r="H517" i="6"/>
  <c r="I517" i="6"/>
  <c r="J517" i="6"/>
  <c r="E518" i="6"/>
  <c r="H518" i="6"/>
  <c r="I518" i="6"/>
  <c r="J518" i="6"/>
  <c r="E519" i="6"/>
  <c r="H519" i="6"/>
  <c r="I519" i="6"/>
  <c r="J519" i="6"/>
  <c r="E520" i="6"/>
  <c r="H520" i="6"/>
  <c r="I520" i="6"/>
  <c r="J520" i="6"/>
  <c r="E521" i="6"/>
  <c r="H521" i="6"/>
  <c r="I521" i="6"/>
  <c r="J521" i="6"/>
  <c r="E522" i="6"/>
  <c r="H522" i="6"/>
  <c r="I522" i="6"/>
  <c r="J522" i="6"/>
  <c r="E523" i="6"/>
  <c r="H523" i="6"/>
  <c r="I523" i="6"/>
  <c r="J523" i="6"/>
  <c r="E524" i="6"/>
  <c r="H524" i="6"/>
  <c r="I524" i="6"/>
  <c r="J524" i="6"/>
  <c r="E525" i="6"/>
  <c r="H525" i="6"/>
  <c r="I525" i="6"/>
  <c r="J525" i="6"/>
  <c r="E526" i="6"/>
  <c r="H526" i="6"/>
  <c r="I526" i="6"/>
  <c r="J526" i="6"/>
  <c r="E527" i="6"/>
  <c r="H527" i="6"/>
  <c r="I527" i="6"/>
  <c r="J527" i="6"/>
  <c r="E528" i="6"/>
  <c r="H528" i="6"/>
  <c r="I528" i="6"/>
  <c r="J528" i="6"/>
  <c r="E529" i="6"/>
  <c r="H529" i="6"/>
  <c r="I529" i="6"/>
  <c r="J529" i="6"/>
  <c r="E530" i="6"/>
  <c r="H530" i="6"/>
  <c r="I530" i="6"/>
  <c r="J530" i="6"/>
  <c r="E531" i="6"/>
  <c r="H531" i="6"/>
  <c r="I531" i="6"/>
  <c r="J531" i="6"/>
  <c r="E532" i="6"/>
  <c r="H532" i="6"/>
  <c r="I532" i="6"/>
  <c r="J532" i="6"/>
  <c r="E533" i="6"/>
  <c r="H533" i="6"/>
  <c r="I533" i="6"/>
  <c r="J533" i="6"/>
  <c r="E534" i="6"/>
  <c r="H534" i="6"/>
  <c r="I534" i="6"/>
  <c r="J534" i="6"/>
  <c r="E535" i="6"/>
  <c r="H535" i="6"/>
  <c r="I535" i="6"/>
  <c r="J535" i="6"/>
  <c r="E536" i="6"/>
  <c r="H536" i="6"/>
  <c r="I536" i="6"/>
  <c r="J536" i="6"/>
  <c r="E537" i="6"/>
  <c r="H537" i="6"/>
  <c r="I537" i="6"/>
  <c r="J537" i="6"/>
  <c r="E538" i="6"/>
  <c r="H538" i="6"/>
  <c r="I538" i="6"/>
  <c r="J538" i="6"/>
  <c r="E539" i="6"/>
  <c r="H539" i="6"/>
  <c r="I539" i="6"/>
  <c r="J539" i="6"/>
  <c r="E540" i="6"/>
  <c r="H540" i="6"/>
  <c r="I540" i="6"/>
  <c r="J540" i="6"/>
  <c r="E541" i="6"/>
  <c r="H541" i="6"/>
  <c r="I541" i="6"/>
  <c r="J541" i="6"/>
  <c r="E542" i="6"/>
  <c r="H542" i="6"/>
  <c r="I542" i="6"/>
  <c r="J542" i="6"/>
  <c r="E543" i="6"/>
  <c r="H543" i="6"/>
  <c r="I543" i="6"/>
  <c r="J543" i="6"/>
  <c r="E544" i="6"/>
  <c r="H544" i="6"/>
  <c r="I544" i="6"/>
  <c r="J544" i="6"/>
  <c r="E545" i="6"/>
  <c r="H545" i="6"/>
  <c r="I545" i="6"/>
  <c r="J545" i="6"/>
  <c r="E546" i="6"/>
  <c r="H546" i="6"/>
  <c r="I546" i="6"/>
  <c r="J546" i="6"/>
  <c r="E547" i="6"/>
  <c r="H547" i="6"/>
  <c r="I547" i="6"/>
  <c r="J547" i="6"/>
  <c r="E548" i="6"/>
  <c r="H548" i="6"/>
  <c r="I548" i="6"/>
  <c r="J548" i="6"/>
  <c r="E549" i="6"/>
  <c r="H549" i="6"/>
  <c r="I549" i="6"/>
  <c r="J549" i="6"/>
  <c r="E550" i="6"/>
  <c r="H550" i="6"/>
  <c r="I550" i="6"/>
  <c r="J550" i="6"/>
  <c r="E551" i="6"/>
  <c r="H551" i="6"/>
  <c r="I551" i="6"/>
  <c r="J551" i="6"/>
  <c r="E552" i="6"/>
  <c r="H552" i="6"/>
  <c r="I552" i="6"/>
  <c r="J552" i="6"/>
  <c r="E553" i="6"/>
  <c r="H553" i="6"/>
  <c r="I553" i="6"/>
  <c r="J553" i="6"/>
  <c r="E554" i="6"/>
  <c r="H554" i="6"/>
  <c r="I554" i="6"/>
  <c r="J554" i="6"/>
  <c r="E555" i="6"/>
  <c r="H555" i="6"/>
  <c r="I555" i="6"/>
  <c r="J555" i="6"/>
  <c r="E556" i="6"/>
  <c r="H556" i="6"/>
  <c r="I556" i="6"/>
  <c r="J556" i="6"/>
  <c r="E557" i="6"/>
  <c r="H557" i="6"/>
  <c r="I557" i="6"/>
  <c r="J557" i="6"/>
  <c r="E558" i="6"/>
  <c r="H558" i="6"/>
  <c r="I558" i="6"/>
  <c r="J558" i="6"/>
  <c r="E559" i="6"/>
  <c r="H559" i="6"/>
  <c r="I559" i="6"/>
  <c r="J559" i="6"/>
  <c r="E560" i="6"/>
  <c r="H560" i="6"/>
  <c r="I560" i="6"/>
  <c r="J560" i="6"/>
  <c r="E561" i="6"/>
  <c r="H561" i="6"/>
  <c r="I561" i="6"/>
  <c r="J561" i="6"/>
  <c r="E562" i="6"/>
  <c r="H562" i="6"/>
  <c r="I562" i="6"/>
  <c r="J562" i="6"/>
  <c r="E563" i="6"/>
  <c r="H563" i="6"/>
  <c r="I563" i="6"/>
  <c r="J563" i="6"/>
  <c r="E564" i="6"/>
  <c r="H564" i="6"/>
  <c r="I564" i="6"/>
  <c r="J564" i="6"/>
  <c r="E565" i="6"/>
  <c r="H565" i="6"/>
  <c r="I565" i="6"/>
  <c r="J565" i="6"/>
  <c r="E566" i="6"/>
  <c r="H566" i="6"/>
  <c r="I566" i="6"/>
  <c r="J566" i="6"/>
  <c r="E567" i="6"/>
  <c r="H567" i="6"/>
  <c r="I567" i="6"/>
  <c r="J567" i="6"/>
  <c r="E568" i="6"/>
  <c r="H568" i="6"/>
  <c r="I568" i="6"/>
  <c r="J568" i="6"/>
  <c r="E569" i="6"/>
  <c r="H569" i="6"/>
  <c r="I569" i="6"/>
  <c r="J569" i="6"/>
  <c r="E570" i="6"/>
  <c r="H570" i="6"/>
  <c r="I570" i="6"/>
  <c r="J570" i="6"/>
  <c r="E571" i="6"/>
  <c r="H571" i="6"/>
  <c r="I571" i="6"/>
  <c r="J571" i="6"/>
  <c r="E572" i="6"/>
  <c r="H572" i="6"/>
  <c r="I572" i="6"/>
  <c r="J572" i="6"/>
  <c r="E573" i="6"/>
  <c r="H573" i="6"/>
  <c r="I573" i="6"/>
  <c r="J573" i="6"/>
  <c r="E574" i="6"/>
  <c r="H574" i="6"/>
  <c r="I574" i="6"/>
  <c r="J574" i="6"/>
  <c r="E575" i="6"/>
  <c r="H575" i="6"/>
  <c r="I575" i="6"/>
  <c r="J575" i="6"/>
  <c r="E576" i="6"/>
  <c r="H576" i="6"/>
  <c r="I576" i="6"/>
  <c r="J576" i="6"/>
  <c r="E577" i="6"/>
  <c r="H577" i="6"/>
  <c r="I577" i="6"/>
  <c r="J577" i="6"/>
  <c r="E578" i="6"/>
  <c r="H578" i="6"/>
  <c r="I578" i="6"/>
  <c r="J578" i="6"/>
  <c r="E579" i="6"/>
  <c r="H579" i="6"/>
  <c r="I579" i="6"/>
  <c r="J579" i="6"/>
  <c r="E580" i="6"/>
  <c r="H580" i="6"/>
  <c r="I580" i="6"/>
  <c r="J580" i="6"/>
  <c r="E581" i="6"/>
  <c r="H581" i="6"/>
  <c r="I581" i="6"/>
  <c r="J581" i="6"/>
  <c r="E582" i="6"/>
  <c r="H582" i="6"/>
  <c r="I582" i="6"/>
  <c r="J582" i="6"/>
  <c r="E583" i="6"/>
  <c r="H583" i="6"/>
  <c r="I583" i="6"/>
  <c r="J583" i="6"/>
  <c r="E584" i="6"/>
  <c r="H584" i="6"/>
  <c r="I584" i="6"/>
  <c r="J584" i="6"/>
  <c r="E585" i="6"/>
  <c r="H585" i="6"/>
  <c r="I585" i="6"/>
  <c r="J585" i="6"/>
  <c r="E586" i="6"/>
  <c r="H586" i="6"/>
  <c r="I586" i="6"/>
  <c r="J586" i="6"/>
  <c r="E587" i="6"/>
  <c r="H587" i="6"/>
  <c r="I587" i="6"/>
  <c r="J587" i="6"/>
  <c r="E588" i="6"/>
  <c r="H588" i="6"/>
  <c r="I588" i="6"/>
  <c r="J588" i="6"/>
  <c r="E589" i="6"/>
  <c r="H589" i="6"/>
  <c r="I589" i="6"/>
  <c r="J589" i="6"/>
  <c r="E590" i="6"/>
  <c r="H590" i="6"/>
  <c r="I590" i="6"/>
  <c r="J590" i="6"/>
  <c r="E591" i="6"/>
  <c r="H591" i="6"/>
  <c r="I591" i="6"/>
  <c r="J591" i="6"/>
  <c r="E592" i="6"/>
  <c r="H592" i="6"/>
  <c r="I592" i="6"/>
  <c r="J592" i="6"/>
  <c r="E593" i="6"/>
  <c r="H593" i="6"/>
  <c r="I593" i="6"/>
  <c r="J593" i="6"/>
  <c r="E594" i="6"/>
  <c r="H594" i="6"/>
  <c r="I594" i="6"/>
  <c r="J594" i="6"/>
  <c r="E595" i="6"/>
  <c r="H595" i="6"/>
  <c r="I595" i="6"/>
  <c r="J595" i="6"/>
  <c r="E596" i="6"/>
  <c r="H596" i="6"/>
  <c r="I596" i="6"/>
  <c r="J596" i="6"/>
  <c r="E597" i="6"/>
  <c r="H597" i="6"/>
  <c r="I597" i="6"/>
  <c r="J597" i="6"/>
  <c r="E598" i="6"/>
  <c r="H598" i="6"/>
  <c r="I598" i="6"/>
  <c r="J598" i="6"/>
  <c r="E599" i="6"/>
  <c r="H599" i="6"/>
  <c r="I599" i="6"/>
  <c r="J599" i="6"/>
  <c r="E600" i="6"/>
  <c r="H600" i="6"/>
  <c r="I600" i="6"/>
  <c r="J600" i="6"/>
  <c r="E601" i="6"/>
  <c r="H601" i="6"/>
  <c r="I601" i="6"/>
  <c r="J601" i="6"/>
  <c r="E602" i="6"/>
  <c r="H602" i="6"/>
  <c r="I602" i="6"/>
  <c r="J602" i="6"/>
  <c r="E603" i="6"/>
  <c r="H603" i="6"/>
  <c r="I603" i="6"/>
  <c r="J603" i="6"/>
  <c r="E604" i="6"/>
  <c r="H604" i="6"/>
  <c r="I604" i="6"/>
  <c r="J604" i="6"/>
  <c r="E605" i="6"/>
  <c r="H605" i="6"/>
  <c r="I605" i="6"/>
  <c r="J605" i="6"/>
  <c r="E606" i="6"/>
  <c r="H606" i="6"/>
  <c r="I606" i="6"/>
  <c r="J606" i="6"/>
  <c r="E607" i="6"/>
  <c r="H607" i="6"/>
  <c r="I607" i="6"/>
  <c r="J607" i="6"/>
  <c r="E608" i="6"/>
  <c r="H608" i="6"/>
  <c r="I608" i="6"/>
  <c r="J608" i="6"/>
  <c r="E609" i="6"/>
  <c r="H609" i="6"/>
  <c r="I609" i="6"/>
  <c r="J609" i="6"/>
  <c r="E610" i="6"/>
  <c r="H610" i="6"/>
  <c r="I610" i="6"/>
  <c r="J610" i="6"/>
  <c r="E611" i="6"/>
  <c r="H611" i="6"/>
  <c r="I611" i="6"/>
  <c r="J611" i="6"/>
  <c r="E612" i="6"/>
  <c r="H612" i="6"/>
  <c r="I612" i="6"/>
  <c r="J612" i="6"/>
  <c r="E613" i="6"/>
  <c r="H613" i="6"/>
  <c r="I613" i="6"/>
  <c r="J613" i="6"/>
  <c r="E614" i="6"/>
  <c r="H614" i="6"/>
  <c r="I614" i="6"/>
  <c r="J614" i="6"/>
  <c r="E615" i="6"/>
  <c r="H615" i="6"/>
  <c r="I615" i="6"/>
  <c r="J615" i="6"/>
  <c r="E2" i="6"/>
  <c r="I2" i="6"/>
  <c r="K6" i="6" s="1"/>
  <c r="J2" i="6"/>
  <c r="A29" i="2"/>
  <c r="F29" i="2"/>
  <c r="I29" i="2"/>
  <c r="J29" i="2"/>
  <c r="O29" i="2" s="1"/>
  <c r="K29" i="2"/>
  <c r="L29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J3" i="2"/>
  <c r="J4" i="2"/>
  <c r="J5" i="2"/>
  <c r="J6" i="2"/>
  <c r="J7" i="2"/>
  <c r="J8" i="2"/>
  <c r="J9" i="2"/>
  <c r="O9" i="2" s="1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O3" i="2"/>
  <c r="O4" i="2"/>
  <c r="O5" i="2"/>
  <c r="O6" i="2"/>
  <c r="O7" i="2"/>
  <c r="O8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K2" i="2"/>
  <c r="L2" i="2" s="1"/>
  <c r="I2" i="2"/>
  <c r="J2" i="2" s="1"/>
  <c r="O2" i="2" s="1"/>
  <c r="F2" i="2"/>
  <c r="A2" i="2"/>
  <c r="N8" i="12" l="1"/>
  <c r="K2" i="6"/>
  <c r="K3" i="6"/>
</calcChain>
</file>

<file path=xl/sharedStrings.xml><?xml version="1.0" encoding="utf-8"?>
<sst xmlns="http://schemas.openxmlformats.org/spreadsheetml/2006/main" count="940" uniqueCount="185">
  <si>
    <t>ITEM CODE</t>
  </si>
  <si>
    <t>PRODUCT NAME</t>
  </si>
  <si>
    <t>BRAND</t>
  </si>
  <si>
    <t>CATEGORY</t>
  </si>
  <si>
    <t>PACK SIZE</t>
  </si>
  <si>
    <t>UNIT</t>
  </si>
  <si>
    <t>PURCHASE RATE</t>
  </si>
  <si>
    <t>SALE RATE</t>
  </si>
  <si>
    <t>OPENING STOCK</t>
  </si>
  <si>
    <t>REORDER LEVEL</t>
  </si>
  <si>
    <t>SUPPLIER</t>
  </si>
  <si>
    <t>STATUS</t>
  </si>
  <si>
    <t>ATH-001</t>
  </si>
  <si>
    <t>HD 50 DD</t>
  </si>
  <si>
    <t>HONDA ATLAS</t>
  </si>
  <si>
    <t>ENGINE OIL</t>
  </si>
  <si>
    <t>LITRE</t>
  </si>
  <si>
    <t xml:space="preserve">ACTIVE </t>
  </si>
  <si>
    <t>ATH-002</t>
  </si>
  <si>
    <t>HAVOLINE</t>
  </si>
  <si>
    <t>ATH-003</t>
  </si>
  <si>
    <t>ML</t>
  </si>
  <si>
    <t>BASE UNIT</t>
  </si>
  <si>
    <t>BOTTLE</t>
  </si>
  <si>
    <t>UNIT PER CARTON</t>
  </si>
  <si>
    <t>PACK UNIT</t>
  </si>
  <si>
    <t>ATH-004</t>
  </si>
  <si>
    <t>ATH-005</t>
  </si>
  <si>
    <t>SHELL</t>
  </si>
  <si>
    <t>ATH-006</t>
  </si>
  <si>
    <t>DYL LUBE</t>
  </si>
  <si>
    <t>PURCHASE ID</t>
  </si>
  <si>
    <t>DATE</t>
  </si>
  <si>
    <t>INVOICE NUMBER</t>
  </si>
  <si>
    <t>PURCHASE UNIT</t>
  </si>
  <si>
    <t>QUANTITY</t>
  </si>
  <si>
    <t xml:space="preserve">RATE </t>
  </si>
  <si>
    <t>TOTAL AMOUNT</t>
  </si>
  <si>
    <t>CONVERSION</t>
  </si>
  <si>
    <t>BASE QUANTITY</t>
  </si>
  <si>
    <t>PAYMENT STATUS</t>
  </si>
  <si>
    <t>PAID AMOUNT</t>
  </si>
  <si>
    <t>PAYABLE</t>
  </si>
  <si>
    <t>REMARKS</t>
  </si>
  <si>
    <t>CARTON</t>
  </si>
  <si>
    <t>PARTIAL</t>
  </si>
  <si>
    <t>SUPPLIER ID</t>
  </si>
  <si>
    <t>SUPPLIER NAME</t>
  </si>
  <si>
    <t>CONTACT PERSON</t>
  </si>
  <si>
    <t>PHONE</t>
  </si>
  <si>
    <t>CITY</t>
  </si>
  <si>
    <t>ADDRESS</t>
  </si>
  <si>
    <t>OPENING PAYABLE</t>
  </si>
  <si>
    <t>SUP-001</t>
  </si>
  <si>
    <t>MALIK AYAN SAJID</t>
  </si>
  <si>
    <t>LAHORE</t>
  </si>
  <si>
    <t>BADAMI BAGH</t>
  </si>
  <si>
    <t>ACTIVE</t>
  </si>
  <si>
    <t>SUP-002</t>
  </si>
  <si>
    <t>AFTAB BHATTI</t>
  </si>
  <si>
    <t>GUJER KHAN</t>
  </si>
  <si>
    <t>PINDI ROAD</t>
  </si>
  <si>
    <t>PAID</t>
  </si>
  <si>
    <t>REFERENCE NUMBER</t>
  </si>
  <si>
    <t>TRANSACTION TYPE</t>
  </si>
  <si>
    <t>RATE</t>
  </si>
  <si>
    <t>STOCK IN</t>
  </si>
  <si>
    <t>STOCK OUT</t>
  </si>
  <si>
    <t>BALANCE</t>
  </si>
  <si>
    <t>PURCHASE</t>
  </si>
  <si>
    <t>SALE</t>
  </si>
  <si>
    <t>ATH-007</t>
  </si>
  <si>
    <t>ATH-008</t>
  </si>
  <si>
    <t>ATH-009</t>
  </si>
  <si>
    <t>SALE ID</t>
  </si>
  <si>
    <t>CUSTOMER</t>
  </si>
  <si>
    <t>INVOICE NO</t>
  </si>
  <si>
    <t>SALE UNIT</t>
  </si>
  <si>
    <t>RECEIVED AMOUNT</t>
  </si>
  <si>
    <t>RECEIVEABLE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</si>
  <si>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</si>
  <si>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</si>
  <si>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</si>
  <si>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</si>
  <si>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</si>
  <si>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</si>
  <si>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</si>
  <si>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</si>
  <si>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</si>
  <si>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</si>
  <si>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</si>
  <si>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</si>
  <si>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</si>
  <si>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</si>
  <si>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</si>
  <si>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</si>
  <si>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CUSTOMER ID</t>
  </si>
  <si>
    <t>OPENING RECEIVEABLE</t>
  </si>
  <si>
    <t>CREDIT LIMIT</t>
  </si>
  <si>
    <t>SAEED AUTOS</t>
  </si>
  <si>
    <t>KHOUR</t>
  </si>
  <si>
    <t>COMPANY CHOWK</t>
  </si>
  <si>
    <t>PAYMENT DATE</t>
  </si>
  <si>
    <t>RECEIPT NO</t>
  </si>
  <si>
    <t>PAYMENT METHOD</t>
  </si>
  <si>
    <t>REFERENCE</t>
  </si>
  <si>
    <t>AMOUNT</t>
  </si>
  <si>
    <t>REC-001</t>
  </si>
  <si>
    <t>MEHTAB</t>
  </si>
  <si>
    <t>FAYYAZ</t>
  </si>
  <si>
    <t>SAEED</t>
  </si>
  <si>
    <t xml:space="preserve">QAZI </t>
  </si>
  <si>
    <t>QAZI AUTOS</t>
  </si>
  <si>
    <t>FAYYAZ AUTOS</t>
  </si>
  <si>
    <t>SHEIKH AUTOS</t>
  </si>
  <si>
    <t>JAND</t>
  </si>
  <si>
    <t>PINDIGHEB</t>
  </si>
  <si>
    <t>EXPENSE DATE</t>
  </si>
  <si>
    <t>EXPENSE ID</t>
  </si>
  <si>
    <t>EXPENSE CATEGORY</t>
  </si>
  <si>
    <t>DESCRIPTION</t>
  </si>
  <si>
    <t>PAID TO</t>
  </si>
  <si>
    <t>EXP-001</t>
  </si>
  <si>
    <t>FUEL</t>
  </si>
  <si>
    <t>PAYMENT ID</t>
  </si>
  <si>
    <t>SP-001</t>
  </si>
  <si>
    <t>TRANSACTION ID</t>
  </si>
  <si>
    <t>ACCOUNT</t>
  </si>
  <si>
    <t>MONEY IN</t>
  </si>
  <si>
    <t>MONEY OUT</t>
  </si>
  <si>
    <t>CASH</t>
  </si>
  <si>
    <t>CAPITAL</t>
  </si>
  <si>
    <t>OPENING CASH BALANCE</t>
  </si>
  <si>
    <t>OPENING</t>
  </si>
  <si>
    <t>BANK</t>
  </si>
  <si>
    <t>TEST</t>
  </si>
  <si>
    <t>CUSTOMER PAYMENT</t>
  </si>
  <si>
    <t xml:space="preserve">SAEED </t>
  </si>
  <si>
    <t>EASYPAISA</t>
  </si>
  <si>
    <t>REC-002</t>
  </si>
  <si>
    <t>REC-003</t>
  </si>
  <si>
    <t>REC-004</t>
  </si>
  <si>
    <t>REC-005</t>
  </si>
  <si>
    <t>REC-006</t>
  </si>
  <si>
    <t>REC-007</t>
  </si>
  <si>
    <t>REC-008</t>
  </si>
  <si>
    <t>REC-009</t>
  </si>
  <si>
    <t>REC-010</t>
  </si>
  <si>
    <t>REC-011</t>
  </si>
  <si>
    <t>REC-012</t>
  </si>
  <si>
    <t>REC-013</t>
  </si>
  <si>
    <t>REC-014</t>
  </si>
  <si>
    <t>REC-015</t>
  </si>
  <si>
    <t>REC-016</t>
  </si>
  <si>
    <t>CURRENT BALANCE</t>
  </si>
  <si>
    <t>JAZZCASH</t>
  </si>
  <si>
    <t>OTHER</t>
  </si>
  <si>
    <t>TRANSFER</t>
  </si>
  <si>
    <t>TO BANK</t>
  </si>
  <si>
    <t>EXP-002</t>
  </si>
  <si>
    <t>EXP-003</t>
  </si>
  <si>
    <t>EXP-004</t>
  </si>
  <si>
    <t>EXP-005</t>
  </si>
  <si>
    <t>EXP-006</t>
  </si>
  <si>
    <t>EXP-007</t>
  </si>
  <si>
    <t>EXP-008</t>
  </si>
  <si>
    <t>EXP-009</t>
  </si>
  <si>
    <t>EXP-010</t>
  </si>
  <si>
    <t>EXP-011</t>
  </si>
  <si>
    <t>EXP-012</t>
  </si>
  <si>
    <t>EXP-013</t>
  </si>
  <si>
    <t>EXP-014</t>
  </si>
  <si>
    <t>EXP-015</t>
  </si>
  <si>
    <t>EXP-016</t>
  </si>
  <si>
    <t>EXP-017</t>
  </si>
  <si>
    <t>EXP-018</t>
  </si>
  <si>
    <t>EXP-019</t>
  </si>
  <si>
    <t>EXP-020</t>
  </si>
  <si>
    <t>VAHICLE MAINTENANCE</t>
  </si>
  <si>
    <t>BRAKES</t>
  </si>
  <si>
    <t>TOTAL EXPENSES</t>
  </si>
  <si>
    <t>SALARY</t>
  </si>
  <si>
    <t>SAJID</t>
  </si>
  <si>
    <t>RENT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</si>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</sst>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 x16r2:formatCode16="[$-en-PK,1]dd/mm/yy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4" fillId="0" borderId="0" xfId="0" applyFont="1"/>
    <xf numFmtId="0" fontId="5" fillId="2" borderId="0" xfId="0" applyFont="1" applyFill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4739A-C2BD-49EA-9520-7290903BD12A}" name="Table1" displayName="Table1" ref="A1:P29" totalsRowShown="0" headerRowDxfId="5">
  <autoFilter ref="A1:P29" xr:uid="{5054739A-C2BD-49EA-9520-7290903BD12A}"/>
  <tableColumns count="16">
    <tableColumn id="1" xr3:uid="{4CEA2FBD-0FB2-424B-AF72-1CD01C5CD80A}" name="PURCHASE ID">
      <calculatedColumnFormula>IF(B2="","","PUR-"&amp;TEXT(ROW()-1,"0000"))</calculatedColumnFormula>
    </tableColumn>
    <tableColumn id="2" xr3:uid="{00FA8BB2-F57B-4E00-B09B-60BAD5D2767E}" name="DATE" dataDxfId="4"/>
    <tableColumn id="3" xr3:uid="{A061B5CA-624C-4059-BD5D-F3D68CDCD687}" name="SUPPLIER"/>
    <tableColumn id="4" xr3:uid="{220B19CE-4981-41E2-9453-C113F5C67C2D}" name="INVOICE NUMBER"/>
    <tableColumn id="5" xr3:uid="{E0F8FE70-1F50-456E-B5AF-DE2F94E29FD3}" name="ITEM CODE"/>
    <tableColumn id="6" xr3:uid="{D5BC6EAC-B50C-4C14-967C-F95B206968C5}" name="PRODUCT NAME">
      <calculatedColumnFormula>+IFERROR(_xlfn.XLOOKUP(E2,'ITEM MASTER'!$A:$A,'ITEM MASTER'!$B:$B,""),"")</calculatedColumnFormula>
    </tableColumn>
    <tableColumn id="7" xr3:uid="{4CC6FCE5-55FB-46B3-92B1-CF437EE89742}" name="PURCHASE UNIT"/>
    <tableColumn id="8" xr3:uid="{184D2B19-518C-4D81-B6EB-F6E71734519B}" name="QUANTITY"/>
    <tableColumn id="9" xr3:uid="{DBBEE1EB-1A85-47F4-8DD7-D8F0EB1591A5}" name="RATE ">
      <calculatedColumnFormula>IFERROR(_xlfn.XLOOKUP(E2,'ITEM MASTER'!$A:$A,'ITEM MASTER'!$I:$I,"")*IF(G2="CARTON",_xlfn.XLOOKUP(E2,'ITEM MASTER'!$A:$A,'ITEM MASTER'!$H:$H,1),1),"")</calculatedColumnFormula>
    </tableColumn>
    <tableColumn id="10" xr3:uid="{D0FA9110-97F1-4092-ADA6-1086681F6C3D}" name="TOTAL AMOUNT">
      <calculatedColumnFormula>IF(OR(H2="",12=""),"",H2*I2)</calculatedColumnFormula>
    </tableColumn>
    <tableColumn id="11" xr3:uid="{051A80A8-A6F5-462E-A813-10EBC6111AB6}" name="CONVERSION">
      <calculatedColumnFormula>IFERROR(_xlfn.XLOOKUP(E2,'ITEM MASTER'!$A:$A,'ITEM MASTER'!$H:$H,""),"")</calculatedColumnFormula>
    </tableColumn>
    <tableColumn id="12" xr3:uid="{332CBC36-EC5B-432F-ABD4-93D293CC511D}" name="BASE QUANTITY" dataDxfId="3">
      <calculatedColumnFormula>IF(OR(G2="",H2=""),"",IF(G2="BOTTLE",H2,IF(G2="CARTON",H2*K2,H2)))</calculatedColumnFormula>
    </tableColumn>
    <tableColumn id="13" xr3:uid="{FB50810F-C357-48C7-8BB5-08FCB3B36ADA}" name="PAYMENT STATUS"/>
    <tableColumn id="14" xr3:uid="{5FE43A94-80F9-4AF6-8477-0FD3D32B0156}" name="PAID AMOUNT"/>
    <tableColumn id="15" xr3:uid="{5ACC9860-6DA6-4578-B41D-398B8C0FDDE9}" name="PAYABLE">
      <calculatedColumnFormula>IF(J2="","",J2-N2)</calculatedColumnFormula>
    </tableColumn>
    <tableColumn id="16" xr3:uid="{22B719E8-2527-4CAA-B151-19C8461B9A25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45937F-2B01-48D4-BEE2-2C81039A12BF}" name="Table2" displayName="Table2" ref="A1:L615" totalsRowShown="0" headerRowDxfId="2">
  <autoFilter ref="A1:L615" xr:uid="{CE45937F-2B01-48D4-BEE2-2C81039A12BF}"/>
  <tableColumns count="12">
    <tableColumn id="1" xr3:uid="{378472B7-2418-4D9E-9265-2582A2845191}" name="DATE"/>
    <tableColumn id="2" xr3:uid="{C3CB6A9C-97A2-48D6-808A-0833F1D42362}" name="REFERENCE NUMBER"/>
    <tableColumn id="3" xr3:uid="{1343338A-E1C9-425A-BD63-B47B84C30212}" name="TRANSACTION TYPE"/>
    <tableColumn id="4" xr3:uid="{60ED3634-7841-4FED-95D8-674970B68261}" name="ITEM CODE"/>
    <tableColumn id="5" xr3:uid="{5A8D8FF3-F4DF-4BF7-84C0-B5C008D4FAB9}" name="PRODUCT NAME">
      <calculatedColumnFormula>IFERROR(_xlfn.XLOOKUP(D2,'ITEM MASTER'!$A:$A,'ITEM MASTER'!$B:$B,""),"")</calculatedColumnFormula>
    </tableColumn>
    <tableColumn id="6" xr3:uid="{E2165C87-F098-427F-BDA7-3A94C9DFDD0B}" name="UNIT"/>
    <tableColumn id="7" xr3:uid="{70758B5C-3D23-4C59-AF77-A63E5EAAD8F0}" name="QUANTITY"/>
    <tableColumn id="8" xr3:uid="{1C118B41-CDC2-4FD0-A229-EFDDBF83A9CA}" name="RATE">
      <calculatedColumnFormula>IFERROR(_xlfn.XLOOKUP(D2,'ITEM MASTER'!$A:$A,'ITEM MASTER'!$I:$I,"")*IF(F2="CARTON",_xlfn.XLOOKUP(D2,'ITEM MASTER'!$A:$A,'ITEM MASTER'!$H:$H,1),1),"")</calculatedColumnFormula>
    </tableColumn>
    <tableColumn id="9" xr3:uid="{D677BABA-BE67-4DD9-AE93-1FAF0AC6245C}" name="STOCK IN">
      <calculatedColumnFormula>IF(OR(C2="PURCHASE",C2="OPENING"),G2*IF(F2="CARTON",_xlfn.XLOOKUP(D2,'ITEM MASTER'!$A:$A,'ITEM MASTER'!$H:$H,1),1),0)</calculatedColumnFormula>
    </tableColumn>
    <tableColumn id="10" xr3:uid="{BE1E9D15-FF62-46C1-AAC1-BE0EA9A1CFCC}" name="STOCK OUT">
      <calculatedColumnFormula>IF(C2="SALE",G2*IF(F2="CARTON",_xlfn.XLOOKUP(D2,'ITEM MASTER'!$A:$A,'ITEM MASTER'!$H:$H,1),1),0)</calculatedColumnFormula>
    </tableColumn>
    <tableColumn id="11" xr3:uid="{C880E692-4487-4342-A753-1CE68E21BD18}" name="BALANCE" dataDxfId="1">
      <calculatedColumnFormula>SUMIFS($I$2:I2,$D$2:D2,D2)-SUMIFS($J$2:J2,$D$2:D2,D2)</calculatedColumnFormula>
    </tableColumn>
    <tableColumn id="12" xr3:uid="{CAC07717-D24C-461D-A6B4-BC40DB7711F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E72D6C-6F1F-4BB1-8622-5652D8BBB2A9}" name="Table3" displayName="Table3" ref="A1:P15" totalsRowShown="0" headerRowDxfId="0">
  <autoFilter ref="A1:P15" xr:uid="{B7E72D6C-6F1F-4BB1-8622-5652D8BBB2A9}"/>
  <tableColumns count="16">
    <tableColumn id="1" xr3:uid="{9EC0BA9B-C9F7-436F-A1F4-6330ED299D47}" name="Column1">
      <calculatedColumnFormula>"SAL-"&amp;ROW()-1</calculatedColumnFormula>
    </tableColumn>
    <tableColumn id="2" xr3:uid="{70172B7B-0502-4802-99A3-BEFB5FD6F77F}" name="Column2"/>
    <tableColumn id="3" xr3:uid="{EB6343BD-AC8F-4986-90B4-AA6341A9916D}" name="Column3"/>
    <tableColumn id="4" xr3:uid="{1E4F3433-93AA-4A0C-B0D0-0DB9CA2BE88E}" name="Column4"/>
    <tableColumn id="5" xr3:uid="{D92A0D71-4469-4510-98F5-9642BB86F9C0}" name="Column5"/>
    <tableColumn id="6" xr3:uid="{566FC364-203B-4D1E-B38F-6FC517A98B20}" name="Column6">
      <calculatedColumnFormula>IFERROR(_xlfn.XLOOKUP(E2,'ITEM MASTER'!$A:$A,'ITEM MASTER'!$B:$B,""),"")</calculatedColumnFormula>
    </tableColumn>
    <tableColumn id="7" xr3:uid="{CE4CDDC1-4BBD-4662-A296-FB34330868DB}" name="Column7"/>
    <tableColumn id="8" xr3:uid="{E1A0896E-FB2C-4566-A36B-ABD2AC2D8DA9}" name="Column8"/>
    <tableColumn id="9" xr3:uid="{F6CFBCB1-43B8-4511-9A34-CF50C3AD510D}" name="Column9"/>
    <tableColumn id="10" xr3:uid="{DC466DB7-9A4C-40F8-8CCA-7788301F294A}" name="Column10">
      <calculatedColumnFormula>IF(OR(H2="",12=""),"",H2*I2)</calculatedColumnFormula>
    </tableColumn>
    <tableColumn id="11" xr3:uid="{DA656BEF-832F-4C6E-856C-DF5B479A18C3}" name="Column11">
      <calculatedColumnFormula>IFERROR(_xlfn.XLOOKUP(E2,'ITEM MASTER'!$A:$A,'ITEM MASTER'!$H:$H,""),"")</calculatedColumnFormula>
    </tableColumn>
    <tableColumn id="12" xr3:uid="{78B6EE19-E3FF-4453-ABF7-EEB60DF38324}" name="Column12">
      <calculatedColumnFormula>IF(OR(G2="",H2=""),"",IF(G2="BOTTLE",H2,IF(G2="CARTON",H2*K2,H2)))</calculatedColumnFormula>
    </tableColumn>
    <tableColumn id="13" xr3:uid="{BA7FCF49-3D04-4AD7-9E15-0096C9444584}" name="Column13"/>
    <tableColumn id="14" xr3:uid="{29310DE5-9244-4A02-9CBA-00E22B1D45BB}" name="Column14"/>
    <tableColumn id="15" xr3:uid="{B9609891-ECEA-40D6-A1E2-FA99550A8BD4}" name="Column15">
      <calculatedColumnFormula>IF(J2="","",J2-N2)</calculatedColumnFormula>
    </tableColumn>
    <tableColumn id="16" xr3:uid="{2ED6C72D-C280-4590-897A-CBB0A75F0A8F}" name="Column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0F1D-444B-4541-943A-3C1B5B2F4D08}">
  <dimension ref="A1:O16"/>
  <sheetViews>
    <sheetView workbookViewId="0">
      <selection activeCell="J2" sqref="J2:J7"/>
    </sheetView>
  </sheetViews>
  <sheetFormatPr defaultRowHeight="14.4" x14ac:dyDescent="0.3"/>
  <cols>
    <col min="1" max="1" width="10" bestFit="1" customWidth="1"/>
    <col min="2" max="2" width="17.5546875" bestFit="1" customWidth="1"/>
    <col min="3" max="3" width="15" bestFit="1" customWidth="1"/>
    <col min="4" max="4" width="12.44140625" bestFit="1" customWidth="1"/>
    <col min="5" max="5" width="11.5546875" bestFit="1" customWidth="1"/>
    <col min="6" max="6" width="11.88671875" bestFit="1" customWidth="1"/>
    <col min="7" max="7" width="11.77734375" bestFit="1" customWidth="1"/>
    <col min="8" max="8" width="19.6640625" bestFit="1" customWidth="1"/>
    <col min="9" max="9" width="14.77734375" bestFit="1" customWidth="1"/>
    <col min="10" max="10" width="12.33203125" bestFit="1" customWidth="1"/>
    <col min="11" max="11" width="15.109375" bestFit="1" customWidth="1"/>
    <col min="12" max="12" width="18.33203125" bestFit="1" customWidth="1"/>
    <col min="13" max="13" width="9.109375" bestFit="1" customWidth="1"/>
    <col min="14" max="14" width="7.3320312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25</v>
      </c>
      <c r="G1" s="2" t="s">
        <v>22</v>
      </c>
      <c r="H1" s="2" t="s">
        <v>24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/>
    </row>
    <row r="2" spans="1:15" x14ac:dyDescent="0.3">
      <c r="A2" s="3" t="s">
        <v>12</v>
      </c>
      <c r="B2" s="3" t="s">
        <v>14</v>
      </c>
      <c r="C2" s="3" t="s">
        <v>13</v>
      </c>
      <c r="D2" s="3" t="s">
        <v>15</v>
      </c>
      <c r="E2" s="3">
        <v>1</v>
      </c>
      <c r="F2" s="3" t="s">
        <v>16</v>
      </c>
      <c r="G2" s="3" t="s">
        <v>23</v>
      </c>
      <c r="H2" s="3">
        <v>12</v>
      </c>
      <c r="I2" s="3">
        <v>400</v>
      </c>
      <c r="J2" s="3"/>
      <c r="K2" s="3">
        <v>0</v>
      </c>
      <c r="L2" s="3">
        <v>20</v>
      </c>
      <c r="M2" s="3"/>
      <c r="N2" s="3" t="s">
        <v>17</v>
      </c>
      <c r="O2" s="3"/>
    </row>
    <row r="3" spans="1:15" x14ac:dyDescent="0.3">
      <c r="A3" s="3" t="s">
        <v>18</v>
      </c>
      <c r="B3" s="3" t="s">
        <v>19</v>
      </c>
      <c r="C3" s="3" t="s">
        <v>13</v>
      </c>
      <c r="D3" s="3" t="s">
        <v>15</v>
      </c>
      <c r="E3" s="3">
        <v>1</v>
      </c>
      <c r="F3" s="3" t="s">
        <v>16</v>
      </c>
      <c r="G3" s="3" t="s">
        <v>23</v>
      </c>
      <c r="H3" s="3">
        <v>12</v>
      </c>
      <c r="I3" s="3">
        <v>404.166</v>
      </c>
      <c r="J3" s="3"/>
      <c r="K3" s="3">
        <v>0</v>
      </c>
      <c r="L3" s="3">
        <v>20</v>
      </c>
      <c r="M3" s="3"/>
      <c r="N3" s="3" t="s">
        <v>17</v>
      </c>
      <c r="O3" s="3"/>
    </row>
    <row r="4" spans="1:15" x14ac:dyDescent="0.3">
      <c r="A4" s="3" t="s">
        <v>20</v>
      </c>
      <c r="B4" s="3" t="s">
        <v>14</v>
      </c>
      <c r="C4" s="3" t="s">
        <v>13</v>
      </c>
      <c r="D4" s="3" t="s">
        <v>15</v>
      </c>
      <c r="E4" s="3">
        <v>700</v>
      </c>
      <c r="F4" s="3" t="s">
        <v>21</v>
      </c>
      <c r="G4" s="3" t="s">
        <v>23</v>
      </c>
      <c r="H4" s="3">
        <v>12</v>
      </c>
      <c r="I4" s="3">
        <v>325</v>
      </c>
      <c r="J4" s="3"/>
      <c r="K4" s="3">
        <v>0</v>
      </c>
      <c r="L4" s="3">
        <v>30</v>
      </c>
      <c r="M4" s="3"/>
      <c r="N4" s="3" t="s">
        <v>17</v>
      </c>
      <c r="O4" s="3"/>
    </row>
    <row r="5" spans="1:15" x14ac:dyDescent="0.3">
      <c r="A5" s="3" t="s">
        <v>26</v>
      </c>
      <c r="B5" s="3" t="s">
        <v>19</v>
      </c>
      <c r="C5" s="3" t="s">
        <v>13</v>
      </c>
      <c r="D5" s="3" t="s">
        <v>15</v>
      </c>
      <c r="E5" s="3">
        <v>700</v>
      </c>
      <c r="F5" s="3" t="s">
        <v>21</v>
      </c>
      <c r="G5" s="3" t="s">
        <v>23</v>
      </c>
      <c r="H5" s="3">
        <v>12</v>
      </c>
      <c r="I5" s="3">
        <v>329.166</v>
      </c>
      <c r="J5" s="3"/>
      <c r="K5" s="3">
        <v>0</v>
      </c>
      <c r="L5" s="3">
        <v>30</v>
      </c>
      <c r="M5" s="3"/>
      <c r="N5" s="3" t="s">
        <v>17</v>
      </c>
      <c r="O5" s="3"/>
    </row>
    <row r="6" spans="1:15" x14ac:dyDescent="0.3">
      <c r="A6" s="3" t="s">
        <v>27</v>
      </c>
      <c r="B6" s="3" t="s">
        <v>28</v>
      </c>
      <c r="C6" s="3" t="s">
        <v>13</v>
      </c>
      <c r="D6" s="3" t="s">
        <v>15</v>
      </c>
      <c r="E6" s="3">
        <v>700</v>
      </c>
      <c r="F6" s="3" t="s">
        <v>21</v>
      </c>
      <c r="G6" s="3" t="s">
        <v>23</v>
      </c>
      <c r="H6" s="3">
        <v>12</v>
      </c>
      <c r="I6" s="3">
        <v>312.5</v>
      </c>
      <c r="J6" s="3"/>
      <c r="K6" s="3">
        <v>0</v>
      </c>
      <c r="L6" s="3">
        <v>5</v>
      </c>
      <c r="M6" s="3"/>
      <c r="N6" s="3" t="s">
        <v>17</v>
      </c>
      <c r="O6" s="3"/>
    </row>
    <row r="7" spans="1:15" x14ac:dyDescent="0.3">
      <c r="A7" s="3" t="s">
        <v>29</v>
      </c>
      <c r="B7" s="3" t="s">
        <v>30</v>
      </c>
      <c r="C7" s="3" t="s">
        <v>13</v>
      </c>
      <c r="D7" s="3" t="s">
        <v>15</v>
      </c>
      <c r="E7" s="3">
        <v>800</v>
      </c>
      <c r="F7" s="3" t="s">
        <v>21</v>
      </c>
      <c r="G7" s="3" t="s">
        <v>23</v>
      </c>
      <c r="H7" s="3">
        <v>12</v>
      </c>
      <c r="I7" s="3">
        <v>310</v>
      </c>
      <c r="J7" s="3"/>
      <c r="K7" s="3">
        <v>0</v>
      </c>
      <c r="L7" s="3">
        <v>5</v>
      </c>
      <c r="M7" s="3"/>
      <c r="N7" s="3" t="s">
        <v>17</v>
      </c>
      <c r="O7" s="3"/>
    </row>
    <row r="8" spans="1:1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">
      <c r="B11" s="3"/>
    </row>
    <row r="12" spans="1:15" x14ac:dyDescent="0.3">
      <c r="B12" s="3"/>
    </row>
    <row r="13" spans="1:15" x14ac:dyDescent="0.3">
      <c r="B13" s="3"/>
    </row>
    <row r="14" spans="1:15" x14ac:dyDescent="0.3">
      <c r="B14" s="3"/>
    </row>
    <row r="15" spans="1:15" x14ac:dyDescent="0.3">
      <c r="B15" s="3"/>
    </row>
    <row r="16" spans="1:15" x14ac:dyDescent="0.3">
      <c r="B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FAEA-9793-4D9E-9C5F-1F8B51CDFBB6}">
  <dimension ref="A1:S29"/>
  <sheetViews>
    <sheetView topLeftCell="E1" workbookViewId="0">
      <selection activeCell="N3" sqref="N3"/>
    </sheetView>
  </sheetViews>
  <sheetFormatPr defaultRowHeight="14.4" x14ac:dyDescent="0.3"/>
  <cols>
    <col min="1" max="1" width="16.6640625" customWidth="1"/>
    <col min="2" max="2" width="10.33203125" bestFit="1" customWidth="1"/>
    <col min="3" max="3" width="15.6640625" bestFit="1" customWidth="1"/>
    <col min="4" max="4" width="20.5546875" customWidth="1"/>
    <col min="5" max="5" width="14" customWidth="1"/>
    <col min="6" max="6" width="19.21875" customWidth="1"/>
    <col min="7" max="7" width="19.33203125" customWidth="1"/>
    <col min="8" max="8" width="13.21875" customWidth="1"/>
    <col min="9" max="9" width="8.88671875" customWidth="1"/>
    <col min="10" max="10" width="18.88671875" customWidth="1"/>
    <col min="11" max="11" width="16.44140625" customWidth="1"/>
    <col min="12" max="12" width="19.33203125" customWidth="1"/>
    <col min="13" max="13" width="21.33203125" customWidth="1"/>
    <col min="14" max="14" width="17.6640625" bestFit="1" customWidth="1"/>
    <col min="15" max="15" width="19.6640625" bestFit="1" customWidth="1"/>
    <col min="16" max="16" width="13" customWidth="1"/>
  </cols>
  <sheetData>
    <row r="1" spans="1:19" x14ac:dyDescent="0.3">
      <c r="A1" s="1" t="s">
        <v>31</v>
      </c>
      <c r="B1" s="1" t="s">
        <v>32</v>
      </c>
      <c r="C1" s="1" t="s">
        <v>10</v>
      </c>
      <c r="D1" s="1" t="s">
        <v>33</v>
      </c>
      <c r="E1" s="1" t="s">
        <v>0</v>
      </c>
      <c r="F1" s="1" t="s">
        <v>1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R1" s="1"/>
      <c r="S1" s="1"/>
    </row>
    <row r="2" spans="1:19" x14ac:dyDescent="0.3">
      <c r="A2" t="str">
        <f>IF(B2="","","PUR-"&amp;TEXT(ROW()-1,"0000"))</f>
        <v>PUR-0001</v>
      </c>
      <c r="B2" s="5">
        <v>46301</v>
      </c>
      <c r="C2" t="s">
        <v>54</v>
      </c>
      <c r="E2" t="s">
        <v>12</v>
      </c>
      <c r="F2" t="str">
        <f>+IFERROR(_xlfn.XLOOKUP(E2,'ITEM MASTER'!$A:$A,'ITEM MASTER'!$B:$B,""),"")</f>
        <v>HONDA ATLAS</v>
      </c>
      <c r="G2" t="s">
        <v>44</v>
      </c>
      <c r="H2">
        <v>10</v>
      </c>
      <c r="I2">
        <f>IFERROR(_xlfn.XLOOKUP(E2,'ITEM MASTER'!$A:$A,'ITEM MASTER'!$I:$I,"")*IF(G2="CARTON",_xlfn.XLOOKUP(E2,'ITEM MASTER'!$A:$A,'ITEM MASTER'!$H:$H,1),1),"")</f>
        <v>4800</v>
      </c>
      <c r="J2">
        <f>IF(OR(H2="",12=""),"",H2*I2)</f>
        <v>48000</v>
      </c>
      <c r="K2">
        <f>IFERROR(_xlfn.XLOOKUP(E2,'ITEM MASTER'!$A:$A,'ITEM MASTER'!$H:$H,""),"")</f>
        <v>12</v>
      </c>
      <c r="L2">
        <f>IF(OR(G2="",H2=""),"",IF(G2="BOTTLE",H2,IF(G2="CARTON",H2*K2,H2)))</f>
        <v>120</v>
      </c>
      <c r="M2" t="s">
        <v>45</v>
      </c>
      <c r="N2">
        <v>40000</v>
      </c>
      <c r="O2">
        <f>IF(J2="","",J2-N2)</f>
        <v>8000</v>
      </c>
    </row>
    <row r="3" spans="1:19" x14ac:dyDescent="0.3">
      <c r="A3" t="str">
        <f t="shared" ref="A3:A28" si="0">IF(B3="","","PUR-"&amp;TEXT(ROW()-1,"0000"))</f>
        <v/>
      </c>
      <c r="B3" s="5"/>
      <c r="F3">
        <f>+IFERROR(_xlfn.XLOOKUP(E3,'ITEM MASTER'!$A:$A,'ITEM MASTER'!$B:$B,""),"")</f>
        <v>0</v>
      </c>
      <c r="I3">
        <f>IFERROR(_xlfn.XLOOKUP(E3,'ITEM MASTER'!$A:$A,'ITEM MASTER'!$I:$I,"")*IF(G3="CARTON",_xlfn.XLOOKUP(E3,'ITEM MASTER'!$A:$A,'ITEM MASTER'!$H:$H,1),1),"")</f>
        <v>0</v>
      </c>
      <c r="J3" t="str">
        <f t="shared" ref="J3:J28" si="1">IF(OR(H3="",12=""),"",H3*I3)</f>
        <v/>
      </c>
      <c r="K3">
        <f>IFERROR(_xlfn.XLOOKUP(E3,'ITEM MASTER'!$A:$A,'ITEM MASTER'!$H:$H,""),"")</f>
        <v>0</v>
      </c>
      <c r="L3" t="str">
        <f t="shared" ref="L3:L28" si="2">IF(OR(G3="",H3=""),"",IF(G3="BOTTLE",H3,IF(G3="CARTON",H3*K3,H3)))</f>
        <v/>
      </c>
      <c r="O3" t="str">
        <f t="shared" ref="O3:O28" si="3">IF(J3="","",J3-N3)</f>
        <v/>
      </c>
    </row>
    <row r="4" spans="1:19" x14ac:dyDescent="0.3">
      <c r="A4" t="str">
        <f t="shared" si="0"/>
        <v/>
      </c>
      <c r="B4" s="5"/>
      <c r="F4">
        <f>+IFERROR(_xlfn.XLOOKUP(E4,'ITEM MASTER'!$A:$A,'ITEM MASTER'!$B:$B,""),"")</f>
        <v>0</v>
      </c>
      <c r="I4">
        <f>IFERROR(_xlfn.XLOOKUP(E4,'ITEM MASTER'!$A:$A,'ITEM MASTER'!$I:$I,"")*IF(G4="CARTON",_xlfn.XLOOKUP(E4,'ITEM MASTER'!$A:$A,'ITEM MASTER'!$H:$H,1),1),"")</f>
        <v>0</v>
      </c>
      <c r="J4" t="str">
        <f t="shared" si="1"/>
        <v/>
      </c>
      <c r="K4">
        <f>IFERROR(_xlfn.XLOOKUP(E4,'ITEM MASTER'!$A:$A,'ITEM MASTER'!$H:$H,""),"")</f>
        <v>0</v>
      </c>
      <c r="L4" t="str">
        <f t="shared" si="2"/>
        <v/>
      </c>
      <c r="O4" t="str">
        <f t="shared" si="3"/>
        <v/>
      </c>
    </row>
    <row r="5" spans="1:19" x14ac:dyDescent="0.3">
      <c r="A5" t="str">
        <f t="shared" si="0"/>
        <v/>
      </c>
      <c r="B5" s="5"/>
      <c r="F5">
        <f>+IFERROR(_xlfn.XLOOKUP(E5,'ITEM MASTER'!$A:$A,'ITEM MASTER'!$B:$B,""),"")</f>
        <v>0</v>
      </c>
      <c r="I5">
        <f>IFERROR(_xlfn.XLOOKUP(E5,'ITEM MASTER'!$A:$A,'ITEM MASTER'!$I:$I,"")*IF(G5="CARTON",_xlfn.XLOOKUP(E5,'ITEM MASTER'!$A:$A,'ITEM MASTER'!$H:$H,1),1),"")</f>
        <v>0</v>
      </c>
      <c r="J5" t="str">
        <f t="shared" si="1"/>
        <v/>
      </c>
      <c r="K5">
        <f>IFERROR(_xlfn.XLOOKUP(E5,'ITEM MASTER'!$A:$A,'ITEM MASTER'!$H:$H,""),"")</f>
        <v>0</v>
      </c>
      <c r="L5" t="str">
        <f t="shared" si="2"/>
        <v/>
      </c>
      <c r="O5" t="str">
        <f t="shared" si="3"/>
        <v/>
      </c>
    </row>
    <row r="6" spans="1:19" x14ac:dyDescent="0.3">
      <c r="A6" t="str">
        <f t="shared" si="0"/>
        <v/>
      </c>
      <c r="B6" s="5"/>
      <c r="F6">
        <f>+IFERROR(_xlfn.XLOOKUP(E6,'ITEM MASTER'!$A:$A,'ITEM MASTER'!$B:$B,""),"")</f>
        <v>0</v>
      </c>
      <c r="I6">
        <f>IFERROR(_xlfn.XLOOKUP(E6,'ITEM MASTER'!$A:$A,'ITEM MASTER'!$I:$I,"")*IF(G6="CARTON",_xlfn.XLOOKUP(E6,'ITEM MASTER'!$A:$A,'ITEM MASTER'!$H:$H,1),1),"")</f>
        <v>0</v>
      </c>
      <c r="J6" t="str">
        <f t="shared" si="1"/>
        <v/>
      </c>
      <c r="K6">
        <f>IFERROR(_xlfn.XLOOKUP(E6,'ITEM MASTER'!$A:$A,'ITEM MASTER'!$H:$H,""),"")</f>
        <v>0</v>
      </c>
      <c r="L6" t="str">
        <f t="shared" si="2"/>
        <v/>
      </c>
      <c r="O6" t="str">
        <f t="shared" si="3"/>
        <v/>
      </c>
    </row>
    <row r="7" spans="1:19" x14ac:dyDescent="0.3">
      <c r="A7" t="str">
        <f t="shared" si="0"/>
        <v/>
      </c>
      <c r="B7" s="5"/>
      <c r="F7">
        <f>+IFERROR(_xlfn.XLOOKUP(E7,'ITEM MASTER'!$A:$A,'ITEM MASTER'!$B:$B,""),"")</f>
        <v>0</v>
      </c>
      <c r="I7">
        <f>IFERROR(_xlfn.XLOOKUP(E7,'ITEM MASTER'!$A:$A,'ITEM MASTER'!$I:$I,"")*IF(G7="CARTON",_xlfn.XLOOKUP(E7,'ITEM MASTER'!$A:$A,'ITEM MASTER'!$H:$H,1),1),"")</f>
        <v>0</v>
      </c>
      <c r="J7" t="str">
        <f t="shared" si="1"/>
        <v/>
      </c>
      <c r="K7">
        <f>IFERROR(_xlfn.XLOOKUP(E7,'ITEM MASTER'!$A:$A,'ITEM MASTER'!$H:$H,""),"")</f>
        <v>0</v>
      </c>
      <c r="L7" t="str">
        <f t="shared" si="2"/>
        <v/>
      </c>
      <c r="O7" t="str">
        <f t="shared" si="3"/>
        <v/>
      </c>
    </row>
    <row r="8" spans="1:19" x14ac:dyDescent="0.3">
      <c r="A8" t="str">
        <f t="shared" si="0"/>
        <v/>
      </c>
      <c r="B8" s="5"/>
      <c r="F8">
        <f>+IFERROR(_xlfn.XLOOKUP(E8,'ITEM MASTER'!$A:$A,'ITEM MASTER'!$B:$B,""),"")</f>
        <v>0</v>
      </c>
      <c r="I8">
        <f>IFERROR(_xlfn.XLOOKUP(E8,'ITEM MASTER'!$A:$A,'ITEM MASTER'!$I:$I,"")*IF(G8="CARTON",_xlfn.XLOOKUP(E8,'ITEM MASTER'!$A:$A,'ITEM MASTER'!$H:$H,1),1),"")</f>
        <v>0</v>
      </c>
      <c r="J8" t="str">
        <f t="shared" si="1"/>
        <v/>
      </c>
      <c r="K8">
        <f>IFERROR(_xlfn.XLOOKUP(E8,'ITEM MASTER'!$A:$A,'ITEM MASTER'!$H:$H,""),"")</f>
        <v>0</v>
      </c>
      <c r="L8" t="str">
        <f t="shared" si="2"/>
        <v/>
      </c>
      <c r="O8" t="str">
        <f t="shared" si="3"/>
        <v/>
      </c>
    </row>
    <row r="9" spans="1:19" x14ac:dyDescent="0.3">
      <c r="A9" t="str">
        <f t="shared" si="0"/>
        <v>PUR-0008</v>
      </c>
      <c r="B9" s="5">
        <v>46301</v>
      </c>
      <c r="E9" t="s">
        <v>20</v>
      </c>
      <c r="F9" t="str">
        <f>+IFERROR(_xlfn.XLOOKUP(E9,'ITEM MASTER'!$A:$A,'ITEM MASTER'!$B:$B,""),"")</f>
        <v>HONDA ATLAS</v>
      </c>
      <c r="G9" t="s">
        <v>44</v>
      </c>
      <c r="H9">
        <v>10</v>
      </c>
      <c r="I9">
        <f>IFERROR(_xlfn.XLOOKUP(E9,'ITEM MASTER'!$A:$A,'ITEM MASTER'!$I:$I,"")*IF(G9="CARTON",_xlfn.XLOOKUP(E9,'ITEM MASTER'!$A:$A,'ITEM MASTER'!$H:$H,1),1),"")</f>
        <v>3900</v>
      </c>
      <c r="J9">
        <f t="shared" si="1"/>
        <v>39000</v>
      </c>
      <c r="K9">
        <f>IFERROR(_xlfn.XLOOKUP(E9,'ITEM MASTER'!$A:$A,'ITEM MASTER'!$H:$H,""),"")</f>
        <v>12</v>
      </c>
      <c r="L9">
        <f t="shared" si="2"/>
        <v>120</v>
      </c>
      <c r="M9" t="s">
        <v>62</v>
      </c>
      <c r="N9">
        <v>39000</v>
      </c>
      <c r="O9">
        <f t="shared" si="3"/>
        <v>0</v>
      </c>
    </row>
    <row r="10" spans="1:19" x14ac:dyDescent="0.3">
      <c r="A10" t="str">
        <f t="shared" si="0"/>
        <v/>
      </c>
      <c r="B10" s="5"/>
      <c r="F10">
        <f>+IFERROR(_xlfn.XLOOKUP(E10,'ITEM MASTER'!$A:$A,'ITEM MASTER'!$B:$B,""),"")</f>
        <v>0</v>
      </c>
      <c r="I10">
        <f>IFERROR(_xlfn.XLOOKUP(E10,'ITEM MASTER'!$A:$A,'ITEM MASTER'!$I:$I,"")*IF(G10="CARTON",_xlfn.XLOOKUP(E10,'ITEM MASTER'!$A:$A,'ITEM MASTER'!$H:$H,1),1),"")</f>
        <v>0</v>
      </c>
      <c r="J10" t="str">
        <f t="shared" si="1"/>
        <v/>
      </c>
      <c r="K10">
        <f>IFERROR(_xlfn.XLOOKUP(E10,'ITEM MASTER'!$A:$A,'ITEM MASTER'!$H:$H,""),"")</f>
        <v>0</v>
      </c>
      <c r="L10" t="str">
        <f t="shared" si="2"/>
        <v/>
      </c>
      <c r="O10" t="str">
        <f t="shared" si="3"/>
        <v/>
      </c>
    </row>
    <row r="11" spans="1:19" x14ac:dyDescent="0.3">
      <c r="A11" t="str">
        <f t="shared" si="0"/>
        <v/>
      </c>
      <c r="B11" s="5"/>
      <c r="F11">
        <f>+IFERROR(_xlfn.XLOOKUP(E11,'ITEM MASTER'!$A:$A,'ITEM MASTER'!$B:$B,""),"")</f>
        <v>0</v>
      </c>
      <c r="I11">
        <f>IFERROR(_xlfn.XLOOKUP(E11,'ITEM MASTER'!$A:$A,'ITEM MASTER'!$I:$I,"")*IF(G11="CARTON",_xlfn.XLOOKUP(E11,'ITEM MASTER'!$A:$A,'ITEM MASTER'!$H:$H,1),1),"")</f>
        <v>0</v>
      </c>
      <c r="J11" t="str">
        <f t="shared" si="1"/>
        <v/>
      </c>
      <c r="K11">
        <f>IFERROR(_xlfn.XLOOKUP(E11,'ITEM MASTER'!$A:$A,'ITEM MASTER'!$H:$H,""),"")</f>
        <v>0</v>
      </c>
      <c r="L11" t="str">
        <f t="shared" si="2"/>
        <v/>
      </c>
      <c r="O11" t="str">
        <f t="shared" si="3"/>
        <v/>
      </c>
    </row>
    <row r="12" spans="1:19" x14ac:dyDescent="0.3">
      <c r="A12" t="str">
        <f t="shared" si="0"/>
        <v/>
      </c>
      <c r="B12" s="5"/>
      <c r="F12">
        <f>+IFERROR(_xlfn.XLOOKUP(E12,'ITEM MASTER'!$A:$A,'ITEM MASTER'!$B:$B,""),"")</f>
        <v>0</v>
      </c>
      <c r="I12">
        <f>IFERROR(_xlfn.XLOOKUP(E12,'ITEM MASTER'!$A:$A,'ITEM MASTER'!$I:$I,"")*IF(G12="CARTON",_xlfn.XLOOKUP(E12,'ITEM MASTER'!$A:$A,'ITEM MASTER'!$H:$H,1),1),"")</f>
        <v>0</v>
      </c>
      <c r="J12" t="str">
        <f t="shared" si="1"/>
        <v/>
      </c>
      <c r="K12">
        <f>IFERROR(_xlfn.XLOOKUP(E12,'ITEM MASTER'!$A:$A,'ITEM MASTER'!$H:$H,""),"")</f>
        <v>0</v>
      </c>
      <c r="L12" t="str">
        <f t="shared" si="2"/>
        <v/>
      </c>
      <c r="O12" t="str">
        <f t="shared" si="3"/>
        <v/>
      </c>
    </row>
    <row r="13" spans="1:19" x14ac:dyDescent="0.3">
      <c r="A13" t="str">
        <f t="shared" si="0"/>
        <v/>
      </c>
      <c r="B13" s="5"/>
      <c r="F13">
        <f>+IFERROR(_xlfn.XLOOKUP(E13,'ITEM MASTER'!$A:$A,'ITEM MASTER'!$B:$B,""),"")</f>
        <v>0</v>
      </c>
      <c r="I13">
        <f>IFERROR(_xlfn.XLOOKUP(E13,'ITEM MASTER'!$A:$A,'ITEM MASTER'!$I:$I,"")*IF(G13="CARTON",_xlfn.XLOOKUP(E13,'ITEM MASTER'!$A:$A,'ITEM MASTER'!$H:$H,1),1),"")</f>
        <v>0</v>
      </c>
      <c r="J13" t="str">
        <f t="shared" si="1"/>
        <v/>
      </c>
      <c r="K13">
        <f>IFERROR(_xlfn.XLOOKUP(E13,'ITEM MASTER'!$A:$A,'ITEM MASTER'!$H:$H,""),"")</f>
        <v>0</v>
      </c>
      <c r="L13" t="str">
        <f t="shared" si="2"/>
        <v/>
      </c>
      <c r="O13" t="str">
        <f t="shared" si="3"/>
        <v/>
      </c>
    </row>
    <row r="14" spans="1:19" x14ac:dyDescent="0.3">
      <c r="A14" t="str">
        <f t="shared" si="0"/>
        <v/>
      </c>
      <c r="B14" s="5"/>
      <c r="F14">
        <f>+IFERROR(_xlfn.XLOOKUP(E14,'ITEM MASTER'!$A:$A,'ITEM MASTER'!$B:$B,""),"")</f>
        <v>0</v>
      </c>
      <c r="I14">
        <f>IFERROR(_xlfn.XLOOKUP(E14,'ITEM MASTER'!$A:$A,'ITEM MASTER'!$I:$I,"")*IF(G14="CARTON",_xlfn.XLOOKUP(E14,'ITEM MASTER'!$A:$A,'ITEM MASTER'!$H:$H,1),1),"")</f>
        <v>0</v>
      </c>
      <c r="J14" t="str">
        <f t="shared" si="1"/>
        <v/>
      </c>
      <c r="K14">
        <f>IFERROR(_xlfn.XLOOKUP(E14,'ITEM MASTER'!$A:$A,'ITEM MASTER'!$H:$H,""),"")</f>
        <v>0</v>
      </c>
      <c r="L14" t="str">
        <f t="shared" si="2"/>
        <v/>
      </c>
      <c r="O14" t="str">
        <f t="shared" si="3"/>
        <v/>
      </c>
    </row>
    <row r="15" spans="1:19" x14ac:dyDescent="0.3">
      <c r="A15" t="str">
        <f t="shared" si="0"/>
        <v/>
      </c>
      <c r="B15" s="5"/>
      <c r="F15">
        <f>+IFERROR(_xlfn.XLOOKUP(E15,'ITEM MASTER'!$A:$A,'ITEM MASTER'!$B:$B,""),"")</f>
        <v>0</v>
      </c>
      <c r="I15">
        <f>IFERROR(_xlfn.XLOOKUP(E15,'ITEM MASTER'!$A:$A,'ITEM MASTER'!$I:$I,"")*IF(G15="CARTON",_xlfn.XLOOKUP(E15,'ITEM MASTER'!$A:$A,'ITEM MASTER'!$H:$H,1),1),"")</f>
        <v>0</v>
      </c>
      <c r="J15" t="str">
        <f t="shared" si="1"/>
        <v/>
      </c>
      <c r="K15">
        <f>IFERROR(_xlfn.XLOOKUP(E15,'ITEM MASTER'!$A:$A,'ITEM MASTER'!$H:$H,""),"")</f>
        <v>0</v>
      </c>
      <c r="L15" t="str">
        <f t="shared" si="2"/>
        <v/>
      </c>
      <c r="O15" t="str">
        <f t="shared" si="3"/>
        <v/>
      </c>
    </row>
    <row r="16" spans="1:19" x14ac:dyDescent="0.3">
      <c r="A16" t="str">
        <f t="shared" si="0"/>
        <v/>
      </c>
      <c r="B16" s="5"/>
      <c r="F16">
        <f>+IFERROR(_xlfn.XLOOKUP(E16,'ITEM MASTER'!$A:$A,'ITEM MASTER'!$B:$B,""),"")</f>
        <v>0</v>
      </c>
      <c r="I16">
        <f>IFERROR(_xlfn.XLOOKUP(E16,'ITEM MASTER'!$A:$A,'ITEM MASTER'!$I:$I,"")*IF(G16="CARTON",_xlfn.XLOOKUP(E16,'ITEM MASTER'!$A:$A,'ITEM MASTER'!$H:$H,1),1),"")</f>
        <v>0</v>
      </c>
      <c r="J16" t="str">
        <f t="shared" si="1"/>
        <v/>
      </c>
      <c r="K16">
        <f>IFERROR(_xlfn.XLOOKUP(E16,'ITEM MASTER'!$A:$A,'ITEM MASTER'!$H:$H,""),"")</f>
        <v>0</v>
      </c>
      <c r="L16" t="str">
        <f t="shared" si="2"/>
        <v/>
      </c>
      <c r="O16" t="str">
        <f t="shared" si="3"/>
        <v/>
      </c>
    </row>
    <row r="17" spans="1:15" x14ac:dyDescent="0.3">
      <c r="A17" t="str">
        <f t="shared" si="0"/>
        <v/>
      </c>
      <c r="B17" s="5"/>
      <c r="F17">
        <f>+IFERROR(_xlfn.XLOOKUP(E17,'ITEM MASTER'!$A:$A,'ITEM MASTER'!$B:$B,""),"")</f>
        <v>0</v>
      </c>
      <c r="I17">
        <f>IFERROR(_xlfn.XLOOKUP(E17,'ITEM MASTER'!$A:$A,'ITEM MASTER'!$I:$I,"")*IF(G17="CARTON",_xlfn.XLOOKUP(E17,'ITEM MASTER'!$A:$A,'ITEM MASTER'!$H:$H,1),1),"")</f>
        <v>0</v>
      </c>
      <c r="J17" t="str">
        <f t="shared" si="1"/>
        <v/>
      </c>
      <c r="K17">
        <f>IFERROR(_xlfn.XLOOKUP(E17,'ITEM MASTER'!$A:$A,'ITEM MASTER'!$H:$H,""),"")</f>
        <v>0</v>
      </c>
      <c r="L17" t="str">
        <f t="shared" si="2"/>
        <v/>
      </c>
      <c r="O17" t="str">
        <f t="shared" si="3"/>
        <v/>
      </c>
    </row>
    <row r="18" spans="1:15" x14ac:dyDescent="0.3">
      <c r="A18" t="str">
        <f t="shared" si="0"/>
        <v/>
      </c>
      <c r="B18" s="5"/>
      <c r="F18">
        <f>+IFERROR(_xlfn.XLOOKUP(E18,'ITEM MASTER'!$A:$A,'ITEM MASTER'!$B:$B,""),"")</f>
        <v>0</v>
      </c>
      <c r="I18">
        <f>IFERROR(_xlfn.XLOOKUP(E18,'ITEM MASTER'!$A:$A,'ITEM MASTER'!$I:$I,"")*IF(G18="CARTON",_xlfn.XLOOKUP(E18,'ITEM MASTER'!$A:$A,'ITEM MASTER'!$H:$H,1),1),"")</f>
        <v>0</v>
      </c>
      <c r="J18" t="str">
        <f t="shared" si="1"/>
        <v/>
      </c>
      <c r="K18">
        <f>IFERROR(_xlfn.XLOOKUP(E18,'ITEM MASTER'!$A:$A,'ITEM MASTER'!$H:$H,""),"")</f>
        <v>0</v>
      </c>
      <c r="L18" t="str">
        <f t="shared" si="2"/>
        <v/>
      </c>
      <c r="O18" t="str">
        <f t="shared" si="3"/>
        <v/>
      </c>
    </row>
    <row r="19" spans="1:15" x14ac:dyDescent="0.3">
      <c r="A19" t="str">
        <f t="shared" si="0"/>
        <v/>
      </c>
      <c r="B19" s="5"/>
      <c r="F19">
        <f>+IFERROR(_xlfn.XLOOKUP(E19,'ITEM MASTER'!$A:$A,'ITEM MASTER'!$B:$B,""),"")</f>
        <v>0</v>
      </c>
      <c r="I19">
        <f>IFERROR(_xlfn.XLOOKUP(E19,'ITEM MASTER'!$A:$A,'ITEM MASTER'!$I:$I,"")*IF(G19="CARTON",_xlfn.XLOOKUP(E19,'ITEM MASTER'!$A:$A,'ITEM MASTER'!$H:$H,1),1),"")</f>
        <v>0</v>
      </c>
      <c r="J19" t="str">
        <f t="shared" si="1"/>
        <v/>
      </c>
      <c r="K19">
        <f>IFERROR(_xlfn.XLOOKUP(E19,'ITEM MASTER'!$A:$A,'ITEM MASTER'!$H:$H,""),"")</f>
        <v>0</v>
      </c>
      <c r="L19" t="str">
        <f t="shared" si="2"/>
        <v/>
      </c>
      <c r="O19" t="str">
        <f t="shared" si="3"/>
        <v/>
      </c>
    </row>
    <row r="20" spans="1:15" x14ac:dyDescent="0.3">
      <c r="A20" t="str">
        <f t="shared" si="0"/>
        <v/>
      </c>
      <c r="B20" s="5"/>
      <c r="F20">
        <f>+IFERROR(_xlfn.XLOOKUP(E20,'ITEM MASTER'!$A:$A,'ITEM MASTER'!$B:$B,""),"")</f>
        <v>0</v>
      </c>
      <c r="I20">
        <f>IFERROR(_xlfn.XLOOKUP(E20,'ITEM MASTER'!$A:$A,'ITEM MASTER'!$I:$I,"")*IF(G20="CARTON",_xlfn.XLOOKUP(E20,'ITEM MASTER'!$A:$A,'ITEM MASTER'!$H:$H,1),1),"")</f>
        <v>0</v>
      </c>
      <c r="J20" t="str">
        <f t="shared" si="1"/>
        <v/>
      </c>
      <c r="K20">
        <f>IFERROR(_xlfn.XLOOKUP(E20,'ITEM MASTER'!$A:$A,'ITEM MASTER'!$H:$H,""),"")</f>
        <v>0</v>
      </c>
      <c r="L20" t="str">
        <f t="shared" si="2"/>
        <v/>
      </c>
      <c r="O20" t="str">
        <f t="shared" si="3"/>
        <v/>
      </c>
    </row>
    <row r="21" spans="1:15" x14ac:dyDescent="0.3">
      <c r="A21" t="str">
        <f t="shared" si="0"/>
        <v/>
      </c>
      <c r="B21" s="5"/>
      <c r="F21">
        <f>+IFERROR(_xlfn.XLOOKUP(E21,'ITEM MASTER'!$A:$A,'ITEM MASTER'!$B:$B,""),"")</f>
        <v>0</v>
      </c>
      <c r="I21">
        <f>IFERROR(_xlfn.XLOOKUP(E21,'ITEM MASTER'!$A:$A,'ITEM MASTER'!$I:$I,"")*IF(G21="CARTON",_xlfn.XLOOKUP(E21,'ITEM MASTER'!$A:$A,'ITEM MASTER'!$H:$H,1),1),"")</f>
        <v>0</v>
      </c>
      <c r="J21" t="str">
        <f t="shared" si="1"/>
        <v/>
      </c>
      <c r="K21">
        <f>IFERROR(_xlfn.XLOOKUP(E21,'ITEM MASTER'!$A:$A,'ITEM MASTER'!$H:$H,""),"")</f>
        <v>0</v>
      </c>
      <c r="L21" t="str">
        <f t="shared" si="2"/>
        <v/>
      </c>
      <c r="O21" t="str">
        <f t="shared" si="3"/>
        <v/>
      </c>
    </row>
    <row r="22" spans="1:15" x14ac:dyDescent="0.3">
      <c r="A22" t="str">
        <f t="shared" si="0"/>
        <v/>
      </c>
      <c r="B22" s="5"/>
      <c r="F22">
        <f>+IFERROR(_xlfn.XLOOKUP(E22,'ITEM MASTER'!$A:$A,'ITEM MASTER'!$B:$B,""),"")</f>
        <v>0</v>
      </c>
      <c r="I22">
        <f>IFERROR(_xlfn.XLOOKUP(E22,'ITEM MASTER'!$A:$A,'ITEM MASTER'!$I:$I,"")*IF(G22="CARTON",_xlfn.XLOOKUP(E22,'ITEM MASTER'!$A:$A,'ITEM MASTER'!$H:$H,1),1),"")</f>
        <v>0</v>
      </c>
      <c r="J22" t="str">
        <f t="shared" si="1"/>
        <v/>
      </c>
      <c r="K22">
        <f>IFERROR(_xlfn.XLOOKUP(E22,'ITEM MASTER'!$A:$A,'ITEM MASTER'!$H:$H,""),"")</f>
        <v>0</v>
      </c>
      <c r="L22" t="str">
        <f t="shared" si="2"/>
        <v/>
      </c>
      <c r="O22" t="str">
        <f t="shared" si="3"/>
        <v/>
      </c>
    </row>
    <row r="23" spans="1:15" x14ac:dyDescent="0.3">
      <c r="A23" t="str">
        <f t="shared" si="0"/>
        <v/>
      </c>
      <c r="B23" s="5"/>
      <c r="F23">
        <f>+IFERROR(_xlfn.XLOOKUP(E23,'ITEM MASTER'!$A:$A,'ITEM MASTER'!$B:$B,""),"")</f>
        <v>0</v>
      </c>
      <c r="I23">
        <f>IFERROR(_xlfn.XLOOKUP(E23,'ITEM MASTER'!$A:$A,'ITEM MASTER'!$I:$I,"")*IF(G23="CARTON",_xlfn.XLOOKUP(E23,'ITEM MASTER'!$A:$A,'ITEM MASTER'!$H:$H,1),1),"")</f>
        <v>0</v>
      </c>
      <c r="J23" t="str">
        <f t="shared" si="1"/>
        <v/>
      </c>
      <c r="K23">
        <f>IFERROR(_xlfn.XLOOKUP(E23,'ITEM MASTER'!$A:$A,'ITEM MASTER'!$H:$H,""),"")</f>
        <v>0</v>
      </c>
      <c r="L23" t="str">
        <f t="shared" si="2"/>
        <v/>
      </c>
      <c r="O23" t="str">
        <f t="shared" si="3"/>
        <v/>
      </c>
    </row>
    <row r="24" spans="1:15" x14ac:dyDescent="0.3">
      <c r="A24" t="str">
        <f t="shared" si="0"/>
        <v/>
      </c>
      <c r="B24" s="5"/>
      <c r="F24">
        <f>+IFERROR(_xlfn.XLOOKUP(E24,'ITEM MASTER'!$A:$A,'ITEM MASTER'!$B:$B,""),"")</f>
        <v>0</v>
      </c>
      <c r="I24">
        <f>IFERROR(_xlfn.XLOOKUP(E24,'ITEM MASTER'!$A:$A,'ITEM MASTER'!$I:$I,"")*IF(G24="CARTON",_xlfn.XLOOKUP(E24,'ITEM MASTER'!$A:$A,'ITEM MASTER'!$H:$H,1),1),"")</f>
        <v>0</v>
      </c>
      <c r="J24" t="str">
        <f t="shared" si="1"/>
        <v/>
      </c>
      <c r="K24">
        <f>IFERROR(_xlfn.XLOOKUP(E24,'ITEM MASTER'!$A:$A,'ITEM MASTER'!$H:$H,""),"")</f>
        <v>0</v>
      </c>
      <c r="L24" t="str">
        <f t="shared" si="2"/>
        <v/>
      </c>
      <c r="O24" t="str">
        <f t="shared" si="3"/>
        <v/>
      </c>
    </row>
    <row r="25" spans="1:15" x14ac:dyDescent="0.3">
      <c r="A25" t="str">
        <f t="shared" si="0"/>
        <v/>
      </c>
      <c r="B25" s="5"/>
      <c r="F25">
        <f>+IFERROR(_xlfn.XLOOKUP(E25,'ITEM MASTER'!$A:$A,'ITEM MASTER'!$B:$B,""),"")</f>
        <v>0</v>
      </c>
      <c r="I25">
        <f>IFERROR(_xlfn.XLOOKUP(E25,'ITEM MASTER'!$A:$A,'ITEM MASTER'!$I:$I,"")*IF(G25="CARTON",_xlfn.XLOOKUP(E25,'ITEM MASTER'!$A:$A,'ITEM MASTER'!$H:$H,1),1),"")</f>
        <v>0</v>
      </c>
      <c r="J25" t="str">
        <f t="shared" si="1"/>
        <v/>
      </c>
      <c r="K25">
        <f>IFERROR(_xlfn.XLOOKUP(E25,'ITEM MASTER'!$A:$A,'ITEM MASTER'!$H:$H,""),"")</f>
        <v>0</v>
      </c>
      <c r="L25" t="str">
        <f t="shared" si="2"/>
        <v/>
      </c>
      <c r="O25" t="str">
        <f t="shared" si="3"/>
        <v/>
      </c>
    </row>
    <row r="26" spans="1:15" x14ac:dyDescent="0.3">
      <c r="A26" t="str">
        <f t="shared" si="0"/>
        <v/>
      </c>
      <c r="B26" s="5"/>
      <c r="F26">
        <f>+IFERROR(_xlfn.XLOOKUP(E26,'ITEM MASTER'!$A:$A,'ITEM MASTER'!$B:$B,""),"")</f>
        <v>0</v>
      </c>
      <c r="I26">
        <f>IFERROR(_xlfn.XLOOKUP(E26,'ITEM MASTER'!$A:$A,'ITEM MASTER'!$I:$I,"")*IF(G26="CARTON",_xlfn.XLOOKUP(E26,'ITEM MASTER'!$A:$A,'ITEM MASTER'!$H:$H,1),1),"")</f>
        <v>0</v>
      </c>
      <c r="J26" t="str">
        <f t="shared" si="1"/>
        <v/>
      </c>
      <c r="K26">
        <f>IFERROR(_xlfn.XLOOKUP(E26,'ITEM MASTER'!$A:$A,'ITEM MASTER'!$H:$H,""),"")</f>
        <v>0</v>
      </c>
      <c r="L26" t="str">
        <f t="shared" si="2"/>
        <v/>
      </c>
      <c r="O26" t="str">
        <f t="shared" si="3"/>
        <v/>
      </c>
    </row>
    <row r="27" spans="1:15" x14ac:dyDescent="0.3">
      <c r="A27" t="str">
        <f t="shared" si="0"/>
        <v/>
      </c>
      <c r="B27" s="5"/>
      <c r="F27">
        <f>+IFERROR(_xlfn.XLOOKUP(E27,'ITEM MASTER'!$A:$A,'ITEM MASTER'!$B:$B,""),"")</f>
        <v>0</v>
      </c>
      <c r="I27">
        <f>IFERROR(_xlfn.XLOOKUP(E27,'ITEM MASTER'!$A:$A,'ITEM MASTER'!$I:$I,"")*IF(G27="CARTON",_xlfn.XLOOKUP(E27,'ITEM MASTER'!$A:$A,'ITEM MASTER'!$H:$H,1),1),"")</f>
        <v>0</v>
      </c>
      <c r="J27" t="str">
        <f t="shared" si="1"/>
        <v/>
      </c>
      <c r="K27">
        <f>IFERROR(_xlfn.XLOOKUP(E27,'ITEM MASTER'!$A:$A,'ITEM MASTER'!$H:$H,""),"")</f>
        <v>0</v>
      </c>
      <c r="L27" t="str">
        <f t="shared" si="2"/>
        <v/>
      </c>
      <c r="O27" t="str">
        <f t="shared" si="3"/>
        <v/>
      </c>
    </row>
    <row r="28" spans="1:15" x14ac:dyDescent="0.3">
      <c r="A28" t="str">
        <f t="shared" si="0"/>
        <v/>
      </c>
      <c r="B28" s="5"/>
      <c r="F28">
        <f>+IFERROR(_xlfn.XLOOKUP(E28,'ITEM MASTER'!$A:$A,'ITEM MASTER'!$B:$B,""),"")</f>
        <v>0</v>
      </c>
      <c r="I28">
        <f>IFERROR(_xlfn.XLOOKUP(E28,'ITEM MASTER'!$A:$A,'ITEM MASTER'!$I:$I,"")*IF(G28="CARTON",_xlfn.XLOOKUP(E28,'ITEM MASTER'!$A:$A,'ITEM MASTER'!$H:$H,1),1),"")</f>
        <v>0</v>
      </c>
      <c r="J28" t="str">
        <f t="shared" si="1"/>
        <v/>
      </c>
      <c r="K28">
        <f>IFERROR(_xlfn.XLOOKUP(E28,'ITEM MASTER'!$A:$A,'ITEM MASTER'!$H:$H,""),"")</f>
        <v>0</v>
      </c>
      <c r="L28" t="str">
        <f t="shared" si="2"/>
        <v/>
      </c>
      <c r="O28" t="str">
        <f t="shared" si="3"/>
        <v/>
      </c>
    </row>
    <row r="29" spans="1:15" x14ac:dyDescent="0.3">
      <c r="A29" t="str">
        <f>IF(B29="","","PUR-"&amp;TEXT(ROW()-1,"0000"))</f>
        <v/>
      </c>
      <c r="B29" s="5"/>
      <c r="F29">
        <f>+IFERROR(_xlfn.XLOOKUP(E29,'ITEM MASTER'!$A:$A,'ITEM MASTER'!$B:$B,""),"")</f>
        <v>0</v>
      </c>
      <c r="I29">
        <f>IFERROR(_xlfn.XLOOKUP(E29,'ITEM MASTER'!$A:$A,'ITEM MASTER'!$I:$I,"")*IF(G29="CARTON",_xlfn.XLOOKUP(E29,'ITEM MASTER'!$A:$A,'ITEM MASTER'!$H:$H,1),1),"")</f>
        <v>0</v>
      </c>
      <c r="J29" t="str">
        <f>IF(OR(H29="",12=""),"",H29*I29)</f>
        <v/>
      </c>
      <c r="K29">
        <f>IFERROR(_xlfn.XLOOKUP(E29,'ITEM MASTER'!$A:$A,'ITEM MASTER'!$H:$H,""),"")</f>
        <v>0</v>
      </c>
      <c r="L29" t="str">
        <f>IF(OR(G29="",H29=""),"",IF(G29="BOTTLE",H29,IF(G29="CARTON",H29*K29,H29)))</f>
        <v/>
      </c>
      <c r="O29" t="str">
        <f>IF(J29="","",J29-N29)</f>
        <v/>
      </c>
    </row>
  </sheetData>
  <dataValidations count="3">
    <dataValidation type="list" allowBlank="1" showInputMessage="1" showErrorMessage="1" sqref="G2:G29" xr:uid="{F3ABA4B7-618A-484C-AA63-BB2DD2CE56B1}">
      <formula1>"CARTON,BOTTLE,DRUM,CAN"</formula1>
    </dataValidation>
    <dataValidation type="list" allowBlank="1" showInputMessage="1" showErrorMessage="1" sqref="M2:M29" xr:uid="{80EE27D4-9BBC-4878-8791-F3D1C35BCDBA}">
      <formula1>"PAID,PARTIAL,CREDIT"</formula1>
    </dataValidation>
    <dataValidation type="list" allowBlank="1" showInputMessage="1" showErrorMessage="1" sqref="C2:C29" xr:uid="{9FD34803-B0F3-471A-BC21-D15064AAD5AC}">
      <formula1>INDIRECT("SUPPLIER!B2:B1000")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70754C-1B67-4A3A-B123-1A276691E04D}">
          <x14:formula1>
            <xm:f>'ITEM MASTER'!$A$2:$A$1000</xm:f>
          </x14:formula1>
          <xm:sqref>E2:E29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2FE9-272A-4901-AD19-57AE739ECA04}">
  <dimension ref="A1:K3"/>
  <sheetViews>
    <sheetView workbookViewId="0">
      <selection activeCell="G7" sqref="G7"/>
    </sheetView>
  </sheetViews>
  <sheetFormatPr defaultRowHeight="14.4" x14ac:dyDescent="0.3"/>
  <cols>
    <col min="1" max="1" width="13.6640625" bestFit="1" customWidth="1"/>
    <col min="2" max="2" width="17.6640625" bestFit="1" customWidth="1"/>
    <col min="3" max="3" width="20" bestFit="1" customWidth="1"/>
    <col min="4" max="4" width="11" bestFit="1" customWidth="1"/>
    <col min="5" max="5" width="5.6640625" bestFit="1" customWidth="1"/>
    <col min="6" max="6" width="10.77734375" bestFit="1" customWidth="1"/>
    <col min="7" max="7" width="20.6640625" bestFit="1" customWidth="1"/>
    <col min="8" max="8" width="9" bestFit="1" customWidth="1"/>
    <col min="9" max="9" width="11.109375" bestFit="1" customWidth="1"/>
  </cols>
  <sheetData>
    <row r="1" spans="1:11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11</v>
      </c>
      <c r="I1" s="1" t="s">
        <v>43</v>
      </c>
      <c r="J1" s="1"/>
      <c r="K1" s="1"/>
    </row>
    <row r="2" spans="1:11" x14ac:dyDescent="0.3">
      <c r="A2" t="s">
        <v>53</v>
      </c>
      <c r="B2" t="s">
        <v>54</v>
      </c>
      <c r="D2">
        <v>3125130252</v>
      </c>
      <c r="E2" t="s">
        <v>55</v>
      </c>
      <c r="F2" t="s">
        <v>56</v>
      </c>
      <c r="G2">
        <v>219600</v>
      </c>
      <c r="H2" t="s">
        <v>57</v>
      </c>
    </row>
    <row r="3" spans="1:11" x14ac:dyDescent="0.3">
      <c r="A3" t="s">
        <v>58</v>
      </c>
      <c r="B3" t="s">
        <v>59</v>
      </c>
      <c r="E3" t="s">
        <v>60</v>
      </c>
      <c r="F3" t="s">
        <v>61</v>
      </c>
      <c r="G3">
        <v>31000</v>
      </c>
      <c r="H3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3C05-8CF4-4D88-9B5D-D07BD227B569}">
  <dimension ref="A1:L615"/>
  <sheetViews>
    <sheetView workbookViewId="0">
      <selection activeCell="I7" sqref="I7"/>
    </sheetView>
  </sheetViews>
  <sheetFormatPr defaultRowHeight="14.4" x14ac:dyDescent="0.3"/>
  <cols>
    <col min="1" max="1" width="10.33203125" bestFit="1" customWidth="1"/>
    <col min="2" max="2" width="24.5546875" customWidth="1"/>
    <col min="3" max="3" width="23.33203125" customWidth="1"/>
    <col min="4" max="4" width="14" customWidth="1"/>
    <col min="5" max="5" width="19.21875" customWidth="1"/>
    <col min="6" max="6" width="8" bestFit="1" customWidth="1"/>
    <col min="7" max="7" width="13.21875" customWidth="1"/>
    <col min="8" max="8" width="8.33203125" customWidth="1"/>
    <col min="9" max="9" width="12.44140625" customWidth="1"/>
    <col min="10" max="10" width="14.6640625" customWidth="1"/>
    <col min="11" max="11" width="12.6640625" customWidth="1"/>
    <col min="12" max="12" width="13" customWidth="1"/>
  </cols>
  <sheetData>
    <row r="1" spans="1:12" x14ac:dyDescent="0.3">
      <c r="A1" s="1" t="s">
        <v>32</v>
      </c>
      <c r="B1" s="1" t="s">
        <v>63</v>
      </c>
      <c r="C1" s="1" t="s">
        <v>64</v>
      </c>
      <c r="D1" s="1" t="s">
        <v>0</v>
      </c>
      <c r="E1" s="1" t="s">
        <v>1</v>
      </c>
      <c r="F1" s="1" t="s">
        <v>5</v>
      </c>
      <c r="G1" s="1" t="s">
        <v>35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43</v>
      </c>
    </row>
    <row r="2" spans="1:12" x14ac:dyDescent="0.3">
      <c r="A2" s="5">
        <v>46299</v>
      </c>
      <c r="C2" t="s">
        <v>70</v>
      </c>
      <c r="D2" t="s">
        <v>12</v>
      </c>
      <c r="E2" t="str">
        <f>IFERROR(_xlfn.XLOOKUP(D2,'ITEM MASTER'!$A:$A,'ITEM MASTER'!$B:$B,""),"")</f>
        <v>HONDA ATLAS</v>
      </c>
      <c r="F2" t="s">
        <v>44</v>
      </c>
      <c r="G2">
        <v>0</v>
      </c>
      <c r="H2">
        <v>5000</v>
      </c>
      <c r="I2">
        <f>IF(OR(C2="PURCHASE",C2="OPENING"),G2*IF(F2="CARTON",_xlfn.XLOOKUP(D2,'ITEM MASTER'!$A:$A,'ITEM MASTER'!$H:$H,1),1),0)</f>
        <v>0</v>
      </c>
      <c r="J2">
        <f>IF(C2="SALE",G2*IF(F2="CARTON",_xlfn.XLOOKUP(D2,'ITEM MASTER'!$A:$A,'ITEM MASTER'!$H:$H,1),1),0)</f>
        <v>0</v>
      </c>
      <c r="K2">
        <f>SUMIFS($I$2:I2,$D$2:D2,D2)-SUMIFS($J$2:J2,$D$2:D2,D2)</f>
        <v>0</v>
      </c>
    </row>
    <row r="3" spans="1:12" x14ac:dyDescent="0.3">
      <c r="E3">
        <f>IFERROR(_xlfn.XLOOKUP(D3,'ITEM MASTER'!$A:$A,'ITEM MASTER'!$B:$B,""),"")</f>
        <v>0</v>
      </c>
      <c r="F3" t="s">
        <v>44</v>
      </c>
      <c r="H3">
        <f>IFERROR(_xlfn.XLOOKUP(D3,'ITEM MASTER'!$A:$A,'ITEM MASTER'!$I:$I,"")*IF(F3="CARTON",_xlfn.XLOOKUP(D3,'ITEM MASTER'!$A:$A,'ITEM MASTER'!$H:$H,1),1),"")</f>
        <v>0</v>
      </c>
      <c r="I3">
        <f>IF(OR(C3="PURCHASE",C3="OPENING"),G3*IF(F3="CARTON",_xlfn.XLOOKUP(D3,'ITEM MASTER'!$A:$A,'ITEM MASTER'!$H:$H,1),1),0)</f>
        <v>0</v>
      </c>
      <c r="J3">
        <f>IF(C3="SALE",G3*IF(F3="CARTON",_xlfn.XLOOKUP(D3,'ITEM MASTER'!$A:$A,'ITEM MASTER'!$H:$H,1),1),0)</f>
        <v>0</v>
      </c>
      <c r="K3">
        <f>SUMIFS($I$2:I3,$D$2:D3,D3)-SUMIFS($J$2:J3,$D$2:D3,D3)</f>
        <v>0</v>
      </c>
    </row>
    <row r="4" spans="1:12" x14ac:dyDescent="0.3">
      <c r="E4">
        <f>IFERROR(_xlfn.XLOOKUP(D4,'ITEM MASTER'!$A:$A,'ITEM MASTER'!$B:$B,""),"")</f>
        <v>0</v>
      </c>
      <c r="F4" t="s">
        <v>44</v>
      </c>
      <c r="H4">
        <f>IFERROR(_xlfn.XLOOKUP(D4,'ITEM MASTER'!$A:$A,'ITEM MASTER'!$I:$I,"")*IF(F4="CARTON",_xlfn.XLOOKUP(D4,'ITEM MASTER'!$A:$A,'ITEM MASTER'!$H:$H,1),1),"")</f>
        <v>0</v>
      </c>
      <c r="I4">
        <f>IF(OR(C4="PURCHASE",C4="OPENING"),G4*IF(F4="CARTON",_xlfn.XLOOKUP(D4,'ITEM MASTER'!$A:$A,'ITEM MASTER'!$H:$H,1),1),0)</f>
        <v>0</v>
      </c>
      <c r="J4">
        <f>IF(C4="SALE",G4*IF(F4="CARTON",_xlfn.XLOOKUP(D4,'ITEM MASTER'!$A:$A,'ITEM MASTER'!$H:$H,1),1),0)</f>
        <v>0</v>
      </c>
      <c r="K4">
        <f>SUMIFS($I$2:I4,$D$2:D4,D4)-SUMIFS($J$2:J4,$D$2:D4,D4)</f>
        <v>0</v>
      </c>
    </row>
    <row r="5" spans="1:12" x14ac:dyDescent="0.3">
      <c r="E5">
        <f>IFERROR(_xlfn.XLOOKUP(D5,'ITEM MASTER'!$A:$A,'ITEM MASTER'!$B:$B,""),"")</f>
        <v>0</v>
      </c>
      <c r="F5" t="s">
        <v>44</v>
      </c>
      <c r="H5">
        <f>IFERROR(_xlfn.XLOOKUP(D5,'ITEM MASTER'!$A:$A,'ITEM MASTER'!$I:$I,"")*IF(F5="CARTON",_xlfn.XLOOKUP(D5,'ITEM MASTER'!$A:$A,'ITEM MASTER'!$H:$H,1),1),"")</f>
        <v>0</v>
      </c>
      <c r="I5">
        <f>IF(OR(C5="PURCHASE",C5="OPENING"),G5*IF(F5="CARTON",_xlfn.XLOOKUP(D5,'ITEM MASTER'!$A:$A,'ITEM MASTER'!$H:$H,1),1),0)</f>
        <v>0</v>
      </c>
      <c r="J5">
        <f>IF(C5="SALE",G5*IF(F5="CARTON",_xlfn.XLOOKUP(D5,'ITEM MASTER'!$A:$A,'ITEM MASTER'!$H:$H,1),1),0)</f>
        <v>0</v>
      </c>
      <c r="K5">
        <f>SUMIFS($I$2:I5,$D$2:D5,D5)-SUMIFS($J$2:J5,$D$2:D5,D5)</f>
        <v>0</v>
      </c>
    </row>
    <row r="6" spans="1:12" x14ac:dyDescent="0.3">
      <c r="A6" s="5">
        <v>46299</v>
      </c>
      <c r="C6" t="s">
        <v>69</v>
      </c>
      <c r="D6" t="s">
        <v>12</v>
      </c>
      <c r="E6" t="str">
        <f>IFERROR(_xlfn.XLOOKUP(D6,'ITEM MASTER'!$A:$A,'ITEM MASTER'!$B:$B,""),"")</f>
        <v>HONDA ATLAS</v>
      </c>
      <c r="F6" t="s">
        <v>44</v>
      </c>
      <c r="G6">
        <v>1</v>
      </c>
      <c r="H6">
        <f>IFERROR(_xlfn.XLOOKUP(D6,'ITEM MASTER'!$A:$A,'ITEM MASTER'!$I:$I,"")*IF(F6="CARTON",_xlfn.XLOOKUP(D6,'ITEM MASTER'!$A:$A,'ITEM MASTER'!$H:$H,1),1),"")</f>
        <v>4800</v>
      </c>
      <c r="I6">
        <f>IF(OR(C6="PURCHASE",C6="OPENING"),G6*IF(F6="CARTON",_xlfn.XLOOKUP(D6,'ITEM MASTER'!$A:$A,'ITEM MASTER'!$H:$H,1),1),0)</f>
        <v>12</v>
      </c>
      <c r="J6">
        <f>IF(C6="SALE",G6*IF(F6="CARTON",_xlfn.XLOOKUP(D6,'ITEM MASTER'!$A:$A,'ITEM MASTER'!$H:$H,1),1),0)</f>
        <v>0</v>
      </c>
      <c r="K6">
        <f>SUMIFS($I$2:I6,$D$2:D6,D6)-SUMIFS($J$2:J6,$D$2:D6,D6)</f>
        <v>12</v>
      </c>
    </row>
    <row r="7" spans="1:12" x14ac:dyDescent="0.3">
      <c r="E7">
        <f>IFERROR(_xlfn.XLOOKUP(D7,'ITEM MASTER'!$A:$A,'ITEM MASTER'!$B:$B,""),"")</f>
        <v>0</v>
      </c>
      <c r="F7" t="s">
        <v>44</v>
      </c>
      <c r="H7">
        <f>IFERROR(_xlfn.XLOOKUP(D7,'ITEM MASTER'!$A:$A,'ITEM MASTER'!$I:$I,"")*IF(F7="CARTON",_xlfn.XLOOKUP(D7,'ITEM MASTER'!$A:$A,'ITEM MASTER'!$H:$H,1),1),"")</f>
        <v>0</v>
      </c>
      <c r="I7">
        <f>IF(OR(C7="PURCHASE",C7="OPENING"),G7*IF(F7="CARTON",_xlfn.XLOOKUP(D7,'ITEM MASTER'!$A:$A,'ITEM MASTER'!$H:$H,1),1),0)</f>
        <v>0</v>
      </c>
      <c r="J7">
        <f>IF(C7="SALE",G7*IF(F7="CARTON",_xlfn.XLOOKUP(D7,'ITEM MASTER'!$A:$A,'ITEM MASTER'!$H:$H,1),1),0)</f>
        <v>0</v>
      </c>
      <c r="K7">
        <f>SUMIFS($I$2:I7,$D$2:D7,D7)-SUMIFS($J$2:J7,$D$2:D7,D7)</f>
        <v>0</v>
      </c>
    </row>
    <row r="8" spans="1:12" x14ac:dyDescent="0.3">
      <c r="E8">
        <f>IFERROR(_xlfn.XLOOKUP(D8,'ITEM MASTER'!$A:$A,'ITEM MASTER'!$B:$B,""),"")</f>
        <v>0</v>
      </c>
      <c r="F8" t="s">
        <v>44</v>
      </c>
      <c r="H8">
        <f>IFERROR(_xlfn.XLOOKUP(D8,'ITEM MASTER'!$A:$A,'ITEM MASTER'!$I:$I,"")*IF(F8="CARTON",_xlfn.XLOOKUP(D8,'ITEM MASTER'!$A:$A,'ITEM MASTER'!$H:$H,1),1),"")</f>
        <v>0</v>
      </c>
      <c r="I8">
        <f>IF(OR(C8="PURCHASE",C8="OPENING"),G8*IF(F8="CARTON",_xlfn.XLOOKUP(D8,'ITEM MASTER'!$A:$A,'ITEM MASTER'!$H:$H,1),1),0)</f>
        <v>0</v>
      </c>
      <c r="J8">
        <f>IF(C8="SALE",G8*IF(F8="CARTON",_xlfn.XLOOKUP(D8,'ITEM MASTER'!$A:$A,'ITEM MASTER'!$H:$H,1),1),0)</f>
        <v>0</v>
      </c>
      <c r="K8">
        <f>SUMIFS($I$2:I8,$D$2:D8,D8)-SUMIFS($J$2:J8,$D$2:D8,D8)</f>
        <v>0</v>
      </c>
    </row>
    <row r="9" spans="1:12" x14ac:dyDescent="0.3">
      <c r="E9">
        <f>IFERROR(_xlfn.XLOOKUP(D9,'ITEM MASTER'!$A:$A,'ITEM MASTER'!$B:$B,""),"")</f>
        <v>0</v>
      </c>
      <c r="F9" t="s">
        <v>44</v>
      </c>
      <c r="H9">
        <f>IFERROR(_xlfn.XLOOKUP(D9,'ITEM MASTER'!$A:$A,'ITEM MASTER'!$I:$I,"")*IF(F9="CARTON",_xlfn.XLOOKUP(D9,'ITEM MASTER'!$A:$A,'ITEM MASTER'!$H:$H,1),1),"")</f>
        <v>0</v>
      </c>
      <c r="I9">
        <f>IF(OR(C9="PURCHASE",C9="OPENING"),G9*IF(F9="CARTON",_xlfn.XLOOKUP(D9,'ITEM MASTER'!$A:$A,'ITEM MASTER'!$H:$H,1),1),0)</f>
        <v>0</v>
      </c>
      <c r="J9">
        <f>IF(C9="SALE",G9*IF(F9="CARTON",_xlfn.XLOOKUP(D9,'ITEM MASTER'!$A:$A,'ITEM MASTER'!$H:$H,1),1),0)</f>
        <v>0</v>
      </c>
      <c r="K9">
        <f>SUMIFS($I$2:I9,$D$2:D9,D9)-SUMIFS($J$2:J9,$D$2:D9,D9)</f>
        <v>0</v>
      </c>
    </row>
    <row r="10" spans="1:12" x14ac:dyDescent="0.3">
      <c r="E10">
        <f>IFERROR(_xlfn.XLOOKUP(D10,'ITEM MASTER'!$A:$A,'ITEM MASTER'!$B:$B,""),"")</f>
        <v>0</v>
      </c>
      <c r="F10" t="s">
        <v>44</v>
      </c>
      <c r="H10">
        <f>IFERROR(_xlfn.XLOOKUP(D10,'ITEM MASTER'!$A:$A,'ITEM MASTER'!$I:$I,"")*IF(F10="CARTON",_xlfn.XLOOKUP(D10,'ITEM MASTER'!$A:$A,'ITEM MASTER'!$H:$H,1),1),"")</f>
        <v>0</v>
      </c>
      <c r="I10">
        <f>IF(OR(C10="PURCHASE",C10="OPENING"),G10*IF(F10="CARTON",_xlfn.XLOOKUP(D10,'ITEM MASTER'!$A:$A,'ITEM MASTER'!$H:$H,1),1),0)</f>
        <v>0</v>
      </c>
      <c r="J10">
        <f>IF(C10="SALE",G10*IF(F10="CARTON",_xlfn.XLOOKUP(D10,'ITEM MASTER'!$A:$A,'ITEM MASTER'!$H:$H,1),1),0)</f>
        <v>0</v>
      </c>
      <c r="K10">
        <f>SUMIFS($I$2:I10,$D$2:D10,D10)-SUMIFS($J$2:J10,$D$2:D10,D10)</f>
        <v>0</v>
      </c>
    </row>
    <row r="11" spans="1:12" x14ac:dyDescent="0.3">
      <c r="E11">
        <f>IFERROR(_xlfn.XLOOKUP(D11,'ITEM MASTER'!$A:$A,'ITEM MASTER'!$B:$B,""),"")</f>
        <v>0</v>
      </c>
      <c r="F11" t="s">
        <v>44</v>
      </c>
      <c r="H11">
        <f>IFERROR(_xlfn.XLOOKUP(D11,'ITEM MASTER'!$A:$A,'ITEM MASTER'!$I:$I,"")*IF(F11="CARTON",_xlfn.XLOOKUP(D11,'ITEM MASTER'!$A:$A,'ITEM MASTER'!$H:$H,1),1),"")</f>
        <v>0</v>
      </c>
      <c r="I11">
        <f>IF(OR(C11="PURCHASE",C11="OPENING"),G11*IF(F11="CARTON",_xlfn.XLOOKUP(D11,'ITEM MASTER'!$A:$A,'ITEM MASTER'!$H:$H,1),1),0)</f>
        <v>0</v>
      </c>
      <c r="J11">
        <f>IF(C11="SALE",G11*IF(F11="CARTON",_xlfn.XLOOKUP(D11,'ITEM MASTER'!$A:$A,'ITEM MASTER'!$H:$H,1),1),0)</f>
        <v>0</v>
      </c>
      <c r="K11">
        <f>SUMIFS($I$2:I11,$D$2:D11,D11)-SUMIFS($J$2:J11,$D$2:D11,D11)</f>
        <v>0</v>
      </c>
    </row>
    <row r="12" spans="1:12" x14ac:dyDescent="0.3">
      <c r="E12">
        <f>IFERROR(_xlfn.XLOOKUP(D12,'ITEM MASTER'!$A:$A,'ITEM MASTER'!$B:$B,""),"")</f>
        <v>0</v>
      </c>
      <c r="F12" t="s">
        <v>44</v>
      </c>
      <c r="H12">
        <f>IFERROR(_xlfn.XLOOKUP(D12,'ITEM MASTER'!$A:$A,'ITEM MASTER'!$I:$I,"")*IF(F12="CARTON",_xlfn.XLOOKUP(D12,'ITEM MASTER'!$A:$A,'ITEM MASTER'!$H:$H,1),1),"")</f>
        <v>0</v>
      </c>
      <c r="I12">
        <f>IF(OR(C12="PURCHASE",C12="OPENING"),G12*IF(F12="CARTON",_xlfn.XLOOKUP(D12,'ITEM MASTER'!$A:$A,'ITEM MASTER'!$H:$H,1),1),0)</f>
        <v>0</v>
      </c>
      <c r="J12">
        <f>IF(C12="SALE",G12*IF(F12="CARTON",_xlfn.XLOOKUP(D12,'ITEM MASTER'!$A:$A,'ITEM MASTER'!$H:$H,1),1),0)</f>
        <v>0</v>
      </c>
      <c r="K12">
        <f>SUMIFS($I$2:I12,$D$2:D12,D12)-SUMIFS($J$2:J12,$D$2:D12,D12)</f>
        <v>0</v>
      </c>
    </row>
    <row r="13" spans="1:12" x14ac:dyDescent="0.3">
      <c r="E13">
        <f>IFERROR(_xlfn.XLOOKUP(D13,'ITEM MASTER'!$A:$A,'ITEM MASTER'!$B:$B,""),"")</f>
        <v>0</v>
      </c>
      <c r="F13" t="s">
        <v>44</v>
      </c>
      <c r="H13">
        <f>IFERROR(_xlfn.XLOOKUP(D13,'ITEM MASTER'!$A:$A,'ITEM MASTER'!$I:$I,"")*IF(F13="CARTON",_xlfn.XLOOKUP(D13,'ITEM MASTER'!$A:$A,'ITEM MASTER'!$H:$H,1),1),"")</f>
        <v>0</v>
      </c>
      <c r="I13">
        <f>IF(OR(C13="PURCHASE",C13="OPENING"),G13*IF(F13="CARTON",_xlfn.XLOOKUP(D13,'ITEM MASTER'!$A:$A,'ITEM MASTER'!$H:$H,1),1),0)</f>
        <v>0</v>
      </c>
      <c r="J13">
        <f>IF(C13="SALE",G13*IF(F13="CARTON",_xlfn.XLOOKUP(D13,'ITEM MASTER'!$A:$A,'ITEM MASTER'!$H:$H,1),1),0)</f>
        <v>0</v>
      </c>
      <c r="K13">
        <f>SUMIFS($I$2:I13,$D$2:D13,D13)-SUMIFS($J$2:J13,$D$2:D13,D13)</f>
        <v>0</v>
      </c>
    </row>
    <row r="14" spans="1:12" x14ac:dyDescent="0.3">
      <c r="E14">
        <f>IFERROR(_xlfn.XLOOKUP(D14,'ITEM MASTER'!$A:$A,'ITEM MASTER'!$B:$B,""),"")</f>
        <v>0</v>
      </c>
      <c r="F14" t="s">
        <v>44</v>
      </c>
      <c r="H14">
        <f>IFERROR(_xlfn.XLOOKUP(D14,'ITEM MASTER'!$A:$A,'ITEM MASTER'!$I:$I,"")*IF(F14="CARTON",_xlfn.XLOOKUP(D14,'ITEM MASTER'!$A:$A,'ITEM MASTER'!$H:$H,1),1),"")</f>
        <v>0</v>
      </c>
      <c r="I14">
        <f>IF(OR(C14="PURCHASE",C14="OPENING"),G14*IF(F14="CARTON",_xlfn.XLOOKUP(D14,'ITEM MASTER'!$A:$A,'ITEM MASTER'!$H:$H,1),1),0)</f>
        <v>0</v>
      </c>
      <c r="J14">
        <f>IF(C14="SALE",G14*IF(F14="CARTON",_xlfn.XLOOKUP(D14,'ITEM MASTER'!$A:$A,'ITEM MASTER'!$H:$H,1),1),0)</f>
        <v>0</v>
      </c>
      <c r="K14">
        <f>SUMIFS($I$2:I14,$D$2:D14,D14)-SUMIFS($J$2:J14,$D$2:D14,D14)</f>
        <v>0</v>
      </c>
    </row>
    <row r="15" spans="1:12" x14ac:dyDescent="0.3">
      <c r="E15">
        <f>IFERROR(_xlfn.XLOOKUP(D15,'ITEM MASTER'!$A:$A,'ITEM MASTER'!$B:$B,""),"")</f>
        <v>0</v>
      </c>
      <c r="F15" t="s">
        <v>44</v>
      </c>
      <c r="H15">
        <f>IFERROR(_xlfn.XLOOKUP(D15,'ITEM MASTER'!$A:$A,'ITEM MASTER'!$I:$I,"")*IF(F15="CARTON",_xlfn.XLOOKUP(D15,'ITEM MASTER'!$A:$A,'ITEM MASTER'!$H:$H,1),1),"")</f>
        <v>0</v>
      </c>
      <c r="I15">
        <f>IF(OR(C15="PURCHASE",C15="OPENING"),G15*IF(F15="CARTON",_xlfn.XLOOKUP(D15,'ITEM MASTER'!$A:$A,'ITEM MASTER'!$H:$H,1),1),0)</f>
        <v>0</v>
      </c>
      <c r="J15">
        <f>IF(C15="SALE",G15*IF(F15="CARTON",_xlfn.XLOOKUP(D15,'ITEM MASTER'!$A:$A,'ITEM MASTER'!$H:$H,1),1),0)</f>
        <v>0</v>
      </c>
      <c r="K15">
        <f>SUMIFS($I$2:I15,$D$2:D15,D15)-SUMIFS($J$2:J15,$D$2:D15,D15)</f>
        <v>0</v>
      </c>
    </row>
    <row r="16" spans="1:12" x14ac:dyDescent="0.3">
      <c r="E16">
        <f>IFERROR(_xlfn.XLOOKUP(D16,'ITEM MASTER'!$A:$A,'ITEM MASTER'!$B:$B,""),"")</f>
        <v>0</v>
      </c>
      <c r="F16" t="s">
        <v>44</v>
      </c>
      <c r="H16">
        <f>IFERROR(_xlfn.XLOOKUP(D16,'ITEM MASTER'!$A:$A,'ITEM MASTER'!$I:$I,"")*IF(F16="CARTON",_xlfn.XLOOKUP(D16,'ITEM MASTER'!$A:$A,'ITEM MASTER'!$H:$H,1),1),"")</f>
        <v>0</v>
      </c>
      <c r="I16">
        <f>IF(OR(C16="PURCHASE",C16="OPENING"),G16*IF(F16="CARTON",_xlfn.XLOOKUP(D16,'ITEM MASTER'!$A:$A,'ITEM MASTER'!$H:$H,1),1),0)</f>
        <v>0</v>
      </c>
      <c r="J16">
        <f>IF(C16="SALE",G16*IF(F16="CARTON",_xlfn.XLOOKUP(D16,'ITEM MASTER'!$A:$A,'ITEM MASTER'!$H:$H,1),1),0)</f>
        <v>0</v>
      </c>
      <c r="K16">
        <f>SUMIFS($I$2:I16,$D$2:D16,D16)-SUMIFS($J$2:J16,$D$2:D16,D16)</f>
        <v>0</v>
      </c>
    </row>
    <row r="17" spans="5:11" x14ac:dyDescent="0.3">
      <c r="E17">
        <f>IFERROR(_xlfn.XLOOKUP(D17,'ITEM MASTER'!$A:$A,'ITEM MASTER'!$B:$B,""),"")</f>
        <v>0</v>
      </c>
      <c r="F17" t="s">
        <v>44</v>
      </c>
      <c r="H17">
        <f>IFERROR(_xlfn.XLOOKUP(D17,'ITEM MASTER'!$A:$A,'ITEM MASTER'!$I:$I,"")*IF(F17="CARTON",_xlfn.XLOOKUP(D17,'ITEM MASTER'!$A:$A,'ITEM MASTER'!$H:$H,1),1),"")</f>
        <v>0</v>
      </c>
      <c r="I17">
        <f>IF(OR(C17="PURCHASE",C17="OPENING"),G17*IF(F17="CARTON",_xlfn.XLOOKUP(D17,'ITEM MASTER'!$A:$A,'ITEM MASTER'!$H:$H,1),1),0)</f>
        <v>0</v>
      </c>
      <c r="J17">
        <f>IF(C17="SALE",G17*IF(F17="CARTON",_xlfn.XLOOKUP(D17,'ITEM MASTER'!$A:$A,'ITEM MASTER'!$H:$H,1),1),0)</f>
        <v>0</v>
      </c>
      <c r="K17">
        <f>SUMIFS($I$2:I17,$D$2:D17,D17)-SUMIFS($J$2:J17,$D$2:D17,D17)</f>
        <v>0</v>
      </c>
    </row>
    <row r="18" spans="5:11" x14ac:dyDescent="0.3">
      <c r="E18">
        <f>IFERROR(_xlfn.XLOOKUP(D18,'ITEM MASTER'!$A:$A,'ITEM MASTER'!$B:$B,""),"")</f>
        <v>0</v>
      </c>
      <c r="F18" t="s">
        <v>44</v>
      </c>
      <c r="H18">
        <f>IFERROR(_xlfn.XLOOKUP(D18,'ITEM MASTER'!$A:$A,'ITEM MASTER'!$I:$I,"")*IF(F18="CARTON",_xlfn.XLOOKUP(D18,'ITEM MASTER'!$A:$A,'ITEM MASTER'!$H:$H,1),1),"")</f>
        <v>0</v>
      </c>
      <c r="I18">
        <f>IF(OR(C18="PURCHASE",C18="OPENING"),G18*IF(F18="CARTON",_xlfn.XLOOKUP(D18,'ITEM MASTER'!$A:$A,'ITEM MASTER'!$H:$H,1),1),0)</f>
        <v>0</v>
      </c>
      <c r="J18">
        <f>IF(C18="SALE",G18*IF(F18="CARTON",_xlfn.XLOOKUP(D18,'ITEM MASTER'!$A:$A,'ITEM MASTER'!$H:$H,1),1),0)</f>
        <v>0</v>
      </c>
      <c r="K18">
        <f>SUMIFS($I$2:I18,$D$2:D18,D18)-SUMIFS($J$2:J18,$D$2:D18,D18)</f>
        <v>0</v>
      </c>
    </row>
    <row r="19" spans="5:11" x14ac:dyDescent="0.3">
      <c r="E19">
        <f>IFERROR(_xlfn.XLOOKUP(D19,'ITEM MASTER'!$A:$A,'ITEM MASTER'!$B:$B,""),"")</f>
        <v>0</v>
      </c>
      <c r="F19" t="s">
        <v>44</v>
      </c>
      <c r="H19">
        <f>IFERROR(_xlfn.XLOOKUP(D19,'ITEM MASTER'!$A:$A,'ITEM MASTER'!$I:$I,"")*IF(F19="CARTON",_xlfn.XLOOKUP(D19,'ITEM MASTER'!$A:$A,'ITEM MASTER'!$H:$H,1),1),"")</f>
        <v>0</v>
      </c>
      <c r="I19">
        <f>IF(OR(C19="PURCHASE",C19="OPENING"),G19*IF(F19="CARTON",_xlfn.XLOOKUP(D19,'ITEM MASTER'!$A:$A,'ITEM MASTER'!$H:$H,1),1),0)</f>
        <v>0</v>
      </c>
      <c r="J19">
        <f>IF(C19="SALE",G19*IF(F19="CARTON",_xlfn.XLOOKUP(D19,'ITEM MASTER'!$A:$A,'ITEM MASTER'!$H:$H,1),1),0)</f>
        <v>0</v>
      </c>
      <c r="K19">
        <f>SUMIFS($I$2:I19,$D$2:D19,D19)-SUMIFS($J$2:J19,$D$2:D19,D19)</f>
        <v>0</v>
      </c>
    </row>
    <row r="20" spans="5:11" x14ac:dyDescent="0.3">
      <c r="E20">
        <f>IFERROR(_xlfn.XLOOKUP(D20,'ITEM MASTER'!$A:$A,'ITEM MASTER'!$B:$B,""),"")</f>
        <v>0</v>
      </c>
      <c r="F20" t="s">
        <v>44</v>
      </c>
      <c r="H20">
        <f>IFERROR(_xlfn.XLOOKUP(D20,'ITEM MASTER'!$A:$A,'ITEM MASTER'!$I:$I,"")*IF(F20="CARTON",_xlfn.XLOOKUP(D20,'ITEM MASTER'!$A:$A,'ITEM MASTER'!$H:$H,1),1),"")</f>
        <v>0</v>
      </c>
      <c r="I20">
        <f>IF(OR(C20="PURCHASE",C20="OPENING"),G20*IF(F20="CARTON",_xlfn.XLOOKUP(D20,'ITEM MASTER'!$A:$A,'ITEM MASTER'!$H:$H,1),1),0)</f>
        <v>0</v>
      </c>
      <c r="J20">
        <f>IF(C20="SALE",G20*IF(F20="CARTON",_xlfn.XLOOKUP(D20,'ITEM MASTER'!$A:$A,'ITEM MASTER'!$H:$H,1),1),0)</f>
        <v>0</v>
      </c>
      <c r="K20">
        <f>SUMIFS($I$2:I20,$D$2:D20,D20)-SUMIFS($J$2:J20,$D$2:D20,D20)</f>
        <v>0</v>
      </c>
    </row>
    <row r="21" spans="5:11" x14ac:dyDescent="0.3">
      <c r="E21">
        <f>IFERROR(_xlfn.XLOOKUP(D21,'ITEM MASTER'!$A:$A,'ITEM MASTER'!$B:$B,""),"")</f>
        <v>0</v>
      </c>
      <c r="F21" t="s">
        <v>44</v>
      </c>
      <c r="H21">
        <f>IFERROR(_xlfn.XLOOKUP(D21,'ITEM MASTER'!$A:$A,'ITEM MASTER'!$I:$I,"")*IF(F21="CARTON",_xlfn.XLOOKUP(D21,'ITEM MASTER'!$A:$A,'ITEM MASTER'!$H:$H,1),1),"")</f>
        <v>0</v>
      </c>
      <c r="I21">
        <f>IF(OR(C21="PURCHASE",C21="OPENING"),G21*IF(F21="CARTON",_xlfn.XLOOKUP(D21,'ITEM MASTER'!$A:$A,'ITEM MASTER'!$H:$H,1),1),0)</f>
        <v>0</v>
      </c>
      <c r="J21">
        <f>IF(C21="SALE",G21*IF(F21="CARTON",_xlfn.XLOOKUP(D21,'ITEM MASTER'!$A:$A,'ITEM MASTER'!$H:$H,1),1),0)</f>
        <v>0</v>
      </c>
      <c r="K21">
        <f>SUMIFS($I$2:I21,$D$2:D21,D21)-SUMIFS($J$2:J21,$D$2:D21,D21)</f>
        <v>0</v>
      </c>
    </row>
    <row r="22" spans="5:11" x14ac:dyDescent="0.3">
      <c r="E22">
        <f>IFERROR(_xlfn.XLOOKUP(D22,'ITEM MASTER'!$A:$A,'ITEM MASTER'!$B:$B,""),"")</f>
        <v>0</v>
      </c>
      <c r="F22" t="s">
        <v>44</v>
      </c>
      <c r="H22">
        <f>IFERROR(_xlfn.XLOOKUP(D22,'ITEM MASTER'!$A:$A,'ITEM MASTER'!$I:$I,"")*IF(F22="CARTON",_xlfn.XLOOKUP(D22,'ITEM MASTER'!$A:$A,'ITEM MASTER'!$H:$H,1),1),"")</f>
        <v>0</v>
      </c>
      <c r="I22">
        <f>IF(OR(C22="PURCHASE",C22="OPENING"),G22*IF(F22="CARTON",_xlfn.XLOOKUP(D22,'ITEM MASTER'!$A:$A,'ITEM MASTER'!$H:$H,1),1),0)</f>
        <v>0</v>
      </c>
      <c r="J22">
        <f>IF(C22="SALE",G22*IF(F22="CARTON",_xlfn.XLOOKUP(D22,'ITEM MASTER'!$A:$A,'ITEM MASTER'!$H:$H,1),1),0)</f>
        <v>0</v>
      </c>
      <c r="K22">
        <f>SUMIFS($I$2:I22,$D$2:D22,D22)-SUMIFS($J$2:J22,$D$2:D22,D22)</f>
        <v>0</v>
      </c>
    </row>
    <row r="23" spans="5:11" x14ac:dyDescent="0.3">
      <c r="E23">
        <f>IFERROR(_xlfn.XLOOKUP(D23,'ITEM MASTER'!$A:$A,'ITEM MASTER'!$B:$B,""),"")</f>
        <v>0</v>
      </c>
      <c r="F23" t="s">
        <v>44</v>
      </c>
      <c r="H23">
        <f>IFERROR(_xlfn.XLOOKUP(D23,'ITEM MASTER'!$A:$A,'ITEM MASTER'!$I:$I,"")*IF(F23="CARTON",_xlfn.XLOOKUP(D23,'ITEM MASTER'!$A:$A,'ITEM MASTER'!$H:$H,1),1),"")</f>
        <v>0</v>
      </c>
      <c r="I23">
        <f>IF(OR(C23="PURCHASE",C23="OPENING"),G23*IF(F23="CARTON",_xlfn.XLOOKUP(D23,'ITEM MASTER'!$A:$A,'ITEM MASTER'!$H:$H,1),1),0)</f>
        <v>0</v>
      </c>
      <c r="J23">
        <f>IF(C23="SALE",G23*IF(F23="CARTON",_xlfn.XLOOKUP(D23,'ITEM MASTER'!$A:$A,'ITEM MASTER'!$H:$H,1),1),0)</f>
        <v>0</v>
      </c>
      <c r="K23">
        <f>SUMIFS($I$2:I23,$D$2:D23,D23)-SUMIFS($J$2:J23,$D$2:D23,D23)</f>
        <v>0</v>
      </c>
    </row>
    <row r="24" spans="5:11" x14ac:dyDescent="0.3">
      <c r="E24">
        <f>IFERROR(_xlfn.XLOOKUP(D24,'ITEM MASTER'!$A:$A,'ITEM MASTER'!$B:$B,""),"")</f>
        <v>0</v>
      </c>
      <c r="F24" t="s">
        <v>44</v>
      </c>
      <c r="H24">
        <f>IFERROR(_xlfn.XLOOKUP(D24,'ITEM MASTER'!$A:$A,'ITEM MASTER'!$I:$I,"")*IF(F24="CARTON",_xlfn.XLOOKUP(D24,'ITEM MASTER'!$A:$A,'ITEM MASTER'!$H:$H,1),1),"")</f>
        <v>0</v>
      </c>
      <c r="I24">
        <f>IF(OR(C24="PURCHASE",C24="OPENING"),G24*IF(F24="CARTON",_xlfn.XLOOKUP(D24,'ITEM MASTER'!$A:$A,'ITEM MASTER'!$H:$H,1),1),0)</f>
        <v>0</v>
      </c>
      <c r="J24">
        <f>IF(C24="SALE",G24*IF(F24="CARTON",_xlfn.XLOOKUP(D24,'ITEM MASTER'!$A:$A,'ITEM MASTER'!$H:$H,1),1),0)</f>
        <v>0</v>
      </c>
      <c r="K24">
        <f>SUMIFS($I$2:I24,$D$2:D24,D24)-SUMIFS($J$2:J24,$D$2:D24,D24)</f>
        <v>0</v>
      </c>
    </row>
    <row r="25" spans="5:11" x14ac:dyDescent="0.3">
      <c r="E25">
        <f>IFERROR(_xlfn.XLOOKUP(D25,'ITEM MASTER'!$A:$A,'ITEM MASTER'!$B:$B,""),"")</f>
        <v>0</v>
      </c>
      <c r="F25" t="s">
        <v>44</v>
      </c>
      <c r="H25">
        <f>IFERROR(_xlfn.XLOOKUP(D25,'ITEM MASTER'!$A:$A,'ITEM MASTER'!$I:$I,"")*IF(F25="CARTON",_xlfn.XLOOKUP(D25,'ITEM MASTER'!$A:$A,'ITEM MASTER'!$H:$H,1),1),"")</f>
        <v>0</v>
      </c>
      <c r="I25">
        <f>IF(OR(C25="PURCHASE",C25="OPENING"),G25*IF(F25="CARTON",_xlfn.XLOOKUP(D25,'ITEM MASTER'!$A:$A,'ITEM MASTER'!$H:$H,1),1),0)</f>
        <v>0</v>
      </c>
      <c r="J25">
        <f>IF(C25="SALE",G25*IF(F25="CARTON",_xlfn.XLOOKUP(D25,'ITEM MASTER'!$A:$A,'ITEM MASTER'!$H:$H,1),1),0)</f>
        <v>0</v>
      </c>
      <c r="K25">
        <f>SUMIFS($I$2:I25,$D$2:D25,D25)-SUMIFS($J$2:J25,$D$2:D25,D25)</f>
        <v>0</v>
      </c>
    </row>
    <row r="26" spans="5:11" x14ac:dyDescent="0.3">
      <c r="E26">
        <f>IFERROR(_xlfn.XLOOKUP(D26,'ITEM MASTER'!$A:$A,'ITEM MASTER'!$B:$B,""),"")</f>
        <v>0</v>
      </c>
      <c r="F26" t="s">
        <v>44</v>
      </c>
      <c r="H26">
        <f>IFERROR(_xlfn.XLOOKUP(D26,'ITEM MASTER'!$A:$A,'ITEM MASTER'!$I:$I,"")*IF(F26="CARTON",_xlfn.XLOOKUP(D26,'ITEM MASTER'!$A:$A,'ITEM MASTER'!$H:$H,1),1),"")</f>
        <v>0</v>
      </c>
      <c r="I26">
        <f>IF(OR(C26="PURCHASE",C26="OPENING"),G26*IF(F26="CARTON",_xlfn.XLOOKUP(D26,'ITEM MASTER'!$A:$A,'ITEM MASTER'!$H:$H,1),1),0)</f>
        <v>0</v>
      </c>
      <c r="J26">
        <f>IF(C26="SALE",G26*IF(F26="CARTON",_xlfn.XLOOKUP(D26,'ITEM MASTER'!$A:$A,'ITEM MASTER'!$H:$H,1),1),0)</f>
        <v>0</v>
      </c>
      <c r="K26">
        <f>SUMIFS($I$2:I26,$D$2:D26,D26)-SUMIFS($J$2:J26,$D$2:D26,D26)</f>
        <v>0</v>
      </c>
    </row>
    <row r="27" spans="5:11" x14ac:dyDescent="0.3">
      <c r="E27">
        <f>IFERROR(_xlfn.XLOOKUP(D27,'ITEM MASTER'!$A:$A,'ITEM MASTER'!$B:$B,""),"")</f>
        <v>0</v>
      </c>
      <c r="F27" t="s">
        <v>44</v>
      </c>
      <c r="H27">
        <f>IFERROR(_xlfn.XLOOKUP(D27,'ITEM MASTER'!$A:$A,'ITEM MASTER'!$I:$I,"")*IF(F27="CARTON",_xlfn.XLOOKUP(D27,'ITEM MASTER'!$A:$A,'ITEM MASTER'!$H:$H,1),1),"")</f>
        <v>0</v>
      </c>
      <c r="I27">
        <f>IF(OR(C27="PURCHASE",C27="OPENING"),G27*IF(F27="CARTON",_xlfn.XLOOKUP(D27,'ITEM MASTER'!$A:$A,'ITEM MASTER'!$H:$H,1),1),0)</f>
        <v>0</v>
      </c>
      <c r="J27">
        <f>IF(C27="SALE",G27*IF(F27="CARTON",_xlfn.XLOOKUP(D27,'ITEM MASTER'!$A:$A,'ITEM MASTER'!$H:$H,1),1),0)</f>
        <v>0</v>
      </c>
      <c r="K27">
        <f>SUMIFS($I$2:I27,$D$2:D27,D27)-SUMIFS($J$2:J27,$D$2:D27,D27)</f>
        <v>0</v>
      </c>
    </row>
    <row r="28" spans="5:11" x14ac:dyDescent="0.3">
      <c r="E28">
        <f>IFERROR(_xlfn.XLOOKUP(D28,'ITEM MASTER'!$A:$A,'ITEM MASTER'!$B:$B,""),"")</f>
        <v>0</v>
      </c>
      <c r="F28" t="s">
        <v>44</v>
      </c>
      <c r="H28">
        <f>IFERROR(_xlfn.XLOOKUP(D28,'ITEM MASTER'!$A:$A,'ITEM MASTER'!$I:$I,"")*IF(F28="CARTON",_xlfn.XLOOKUP(D28,'ITEM MASTER'!$A:$A,'ITEM MASTER'!$H:$H,1),1),"")</f>
        <v>0</v>
      </c>
      <c r="I28">
        <f>IF(OR(C28="PURCHASE",C28="OPENING"),G28*IF(F28="CARTON",_xlfn.XLOOKUP(D28,'ITEM MASTER'!$A:$A,'ITEM MASTER'!$H:$H,1),1),0)</f>
        <v>0</v>
      </c>
      <c r="J28">
        <f>IF(C28="SALE",G28*IF(F28="CARTON",_xlfn.XLOOKUP(D28,'ITEM MASTER'!$A:$A,'ITEM MASTER'!$H:$H,1),1),0)</f>
        <v>0</v>
      </c>
      <c r="K28">
        <f>SUMIFS($I$2:I28,$D$2:D28,D28)-SUMIFS($J$2:J28,$D$2:D28,D28)</f>
        <v>0</v>
      </c>
    </row>
    <row r="29" spans="5:11" x14ac:dyDescent="0.3">
      <c r="E29">
        <f>IFERROR(_xlfn.XLOOKUP(D29,'ITEM MASTER'!$A:$A,'ITEM MASTER'!$B:$B,""),"")</f>
        <v>0</v>
      </c>
      <c r="F29" t="s">
        <v>44</v>
      </c>
      <c r="H29">
        <f>IFERROR(_xlfn.XLOOKUP(D29,'ITEM MASTER'!$A:$A,'ITEM MASTER'!$I:$I,"")*IF(F29="CARTON",_xlfn.XLOOKUP(D29,'ITEM MASTER'!$A:$A,'ITEM MASTER'!$H:$H,1),1),"")</f>
        <v>0</v>
      </c>
      <c r="I29">
        <f>IF(OR(C29="PURCHASE",C29="OPENING"),G29*IF(F29="CARTON",_xlfn.XLOOKUP(D29,'ITEM MASTER'!$A:$A,'ITEM MASTER'!$H:$H,1),1),0)</f>
        <v>0</v>
      </c>
      <c r="J29">
        <f>IF(C29="SALE",G29*IF(F29="CARTON",_xlfn.XLOOKUP(D29,'ITEM MASTER'!$A:$A,'ITEM MASTER'!$H:$H,1),1),0)</f>
        <v>0</v>
      </c>
      <c r="K29">
        <f>SUMIFS($I$2:I29,$D$2:D29,D29)-SUMIFS($J$2:J29,$D$2:D29,D29)</f>
        <v>0</v>
      </c>
    </row>
    <row r="30" spans="5:11" x14ac:dyDescent="0.3">
      <c r="E30">
        <f>IFERROR(_xlfn.XLOOKUP(D30,'ITEM MASTER'!$A:$A,'ITEM MASTER'!$B:$B,""),"")</f>
        <v>0</v>
      </c>
      <c r="F30" t="s">
        <v>44</v>
      </c>
      <c r="H30">
        <f>IFERROR(_xlfn.XLOOKUP(D30,'ITEM MASTER'!$A:$A,'ITEM MASTER'!$I:$I,"")*IF(F30="CARTON",_xlfn.XLOOKUP(D30,'ITEM MASTER'!$A:$A,'ITEM MASTER'!$H:$H,1),1),"")</f>
        <v>0</v>
      </c>
      <c r="I30">
        <f>IF(OR(C30="PURCHASE",C30="OPENING"),G30*IF(F30="CARTON",_xlfn.XLOOKUP(D30,'ITEM MASTER'!$A:$A,'ITEM MASTER'!$H:$H,1),1),0)</f>
        <v>0</v>
      </c>
      <c r="J30">
        <f>IF(C30="SALE",G30*IF(F30="CARTON",_xlfn.XLOOKUP(D30,'ITEM MASTER'!$A:$A,'ITEM MASTER'!$H:$H,1),1),0)</f>
        <v>0</v>
      </c>
      <c r="K30">
        <f>SUMIFS($I$2:I30,$D$2:D30,D30)-SUMIFS($J$2:J30,$D$2:D30,D30)</f>
        <v>0</v>
      </c>
    </row>
    <row r="31" spans="5:11" x14ac:dyDescent="0.3">
      <c r="E31">
        <f>IFERROR(_xlfn.XLOOKUP(D31,'ITEM MASTER'!$A:$A,'ITEM MASTER'!$B:$B,""),"")</f>
        <v>0</v>
      </c>
      <c r="F31" t="s">
        <v>44</v>
      </c>
      <c r="H31">
        <f>IFERROR(_xlfn.XLOOKUP(D31,'ITEM MASTER'!$A:$A,'ITEM MASTER'!$I:$I,"")*IF(F31="CARTON",_xlfn.XLOOKUP(D31,'ITEM MASTER'!$A:$A,'ITEM MASTER'!$H:$H,1),1),"")</f>
        <v>0</v>
      </c>
      <c r="I31">
        <f>IF(OR(C31="PURCHASE",C31="OPENING"),G31*IF(F31="CARTON",_xlfn.XLOOKUP(D31,'ITEM MASTER'!$A:$A,'ITEM MASTER'!$H:$H,1),1),0)</f>
        <v>0</v>
      </c>
      <c r="J31">
        <f>IF(C31="SALE",G31*IF(F31="CARTON",_xlfn.XLOOKUP(D31,'ITEM MASTER'!$A:$A,'ITEM MASTER'!$H:$H,1),1),0)</f>
        <v>0</v>
      </c>
      <c r="K31">
        <f>SUMIFS($I$2:I31,$D$2:D31,D31)-SUMIFS($J$2:J31,$D$2:D31,D31)</f>
        <v>0</v>
      </c>
    </row>
    <row r="32" spans="5:11" x14ac:dyDescent="0.3">
      <c r="E32">
        <f>IFERROR(_xlfn.XLOOKUP(D32,'ITEM MASTER'!$A:$A,'ITEM MASTER'!$B:$B,""),"")</f>
        <v>0</v>
      </c>
      <c r="F32" t="s">
        <v>44</v>
      </c>
      <c r="H32">
        <f>IFERROR(_xlfn.XLOOKUP(D32,'ITEM MASTER'!$A:$A,'ITEM MASTER'!$I:$I,"")*IF(F32="CARTON",_xlfn.XLOOKUP(D32,'ITEM MASTER'!$A:$A,'ITEM MASTER'!$H:$H,1),1),"")</f>
        <v>0</v>
      </c>
      <c r="I32">
        <f>IF(OR(C32="PURCHASE",C32="OPENING"),G32*IF(F32="CARTON",_xlfn.XLOOKUP(D32,'ITEM MASTER'!$A:$A,'ITEM MASTER'!$H:$H,1),1),0)</f>
        <v>0</v>
      </c>
      <c r="J32">
        <f>IF(C32="SALE",G32*IF(F32="CARTON",_xlfn.XLOOKUP(D32,'ITEM MASTER'!$A:$A,'ITEM MASTER'!$H:$H,1),1),0)</f>
        <v>0</v>
      </c>
      <c r="K32">
        <f>SUMIFS($I$2:I32,$D$2:D32,D32)-SUMIFS($J$2:J32,$D$2:D32,D32)</f>
        <v>0</v>
      </c>
    </row>
    <row r="33" spans="5:11" x14ac:dyDescent="0.3">
      <c r="E33">
        <f>IFERROR(_xlfn.XLOOKUP(D33,'ITEM MASTER'!$A:$A,'ITEM MASTER'!$B:$B,""),"")</f>
        <v>0</v>
      </c>
      <c r="F33" t="s">
        <v>44</v>
      </c>
      <c r="H33">
        <f>IFERROR(_xlfn.XLOOKUP(D33,'ITEM MASTER'!$A:$A,'ITEM MASTER'!$I:$I,"")*IF(F33="CARTON",_xlfn.XLOOKUP(D33,'ITEM MASTER'!$A:$A,'ITEM MASTER'!$H:$H,1),1),"")</f>
        <v>0</v>
      </c>
      <c r="I33">
        <f>IF(OR(C33="PURCHASE",C33="OPENING"),G33*IF(F33="CARTON",_xlfn.XLOOKUP(D33,'ITEM MASTER'!$A:$A,'ITEM MASTER'!$H:$H,1),1),0)</f>
        <v>0</v>
      </c>
      <c r="J33">
        <f>IF(C33="SALE",G33*IF(F33="CARTON",_xlfn.XLOOKUP(D33,'ITEM MASTER'!$A:$A,'ITEM MASTER'!$H:$H,1),1),0)</f>
        <v>0</v>
      </c>
      <c r="K33">
        <f>SUMIFS($I$2:I33,$D$2:D33,D33)-SUMIFS($J$2:J33,$D$2:D33,D33)</f>
        <v>0</v>
      </c>
    </row>
    <row r="34" spans="5:11" x14ac:dyDescent="0.3">
      <c r="E34">
        <f>IFERROR(_xlfn.XLOOKUP(D34,'ITEM MASTER'!$A:$A,'ITEM MASTER'!$B:$B,""),"")</f>
        <v>0</v>
      </c>
      <c r="F34" t="s">
        <v>44</v>
      </c>
      <c r="H34">
        <f>IFERROR(_xlfn.XLOOKUP(D34,'ITEM MASTER'!$A:$A,'ITEM MASTER'!$I:$I,"")*IF(F34="CARTON",_xlfn.XLOOKUP(D34,'ITEM MASTER'!$A:$A,'ITEM MASTER'!$H:$H,1),1),"")</f>
        <v>0</v>
      </c>
      <c r="I34">
        <f>IF(OR(C34="PURCHASE",C34="OPENING"),G34*IF(F34="CARTON",_xlfn.XLOOKUP(D34,'ITEM MASTER'!$A:$A,'ITEM MASTER'!$H:$H,1),1),0)</f>
        <v>0</v>
      </c>
      <c r="J34">
        <f>IF(C34="SALE",G34*IF(F34="CARTON",_xlfn.XLOOKUP(D34,'ITEM MASTER'!$A:$A,'ITEM MASTER'!$H:$H,1),1),0)</f>
        <v>0</v>
      </c>
      <c r="K34">
        <f>SUMIFS($I$2:I34,$D$2:D34,D34)-SUMIFS($J$2:J34,$D$2:D34,D34)</f>
        <v>0</v>
      </c>
    </row>
    <row r="35" spans="5:11" x14ac:dyDescent="0.3">
      <c r="E35">
        <f>IFERROR(_xlfn.XLOOKUP(D35,'ITEM MASTER'!$A:$A,'ITEM MASTER'!$B:$B,""),"")</f>
        <v>0</v>
      </c>
      <c r="F35" t="s">
        <v>44</v>
      </c>
      <c r="H35">
        <f>IFERROR(_xlfn.XLOOKUP(D35,'ITEM MASTER'!$A:$A,'ITEM MASTER'!$I:$I,"")*IF(F35="CARTON",_xlfn.XLOOKUP(D35,'ITEM MASTER'!$A:$A,'ITEM MASTER'!$H:$H,1),1),"")</f>
        <v>0</v>
      </c>
      <c r="I35">
        <f>IF(OR(C35="PURCHASE",C35="OPENING"),G35*IF(F35="CARTON",_xlfn.XLOOKUP(D35,'ITEM MASTER'!$A:$A,'ITEM MASTER'!$H:$H,1),1),0)</f>
        <v>0</v>
      </c>
      <c r="J35">
        <f>IF(C35="SALE",G35*IF(F35="CARTON",_xlfn.XLOOKUP(D35,'ITEM MASTER'!$A:$A,'ITEM MASTER'!$H:$H,1),1),0)</f>
        <v>0</v>
      </c>
      <c r="K35">
        <f>SUMIFS($I$2:I35,$D$2:D35,D35)-SUMIFS($J$2:J35,$D$2:D35,D35)</f>
        <v>0</v>
      </c>
    </row>
    <row r="36" spans="5:11" x14ac:dyDescent="0.3">
      <c r="E36">
        <f>IFERROR(_xlfn.XLOOKUP(D36,'ITEM MASTER'!$A:$A,'ITEM MASTER'!$B:$B,""),"")</f>
        <v>0</v>
      </c>
      <c r="F36" t="s">
        <v>44</v>
      </c>
      <c r="H36">
        <f>IFERROR(_xlfn.XLOOKUP(D36,'ITEM MASTER'!$A:$A,'ITEM MASTER'!$I:$I,"")*IF(F36="CARTON",_xlfn.XLOOKUP(D36,'ITEM MASTER'!$A:$A,'ITEM MASTER'!$H:$H,1),1),"")</f>
        <v>0</v>
      </c>
      <c r="I36">
        <f>IF(OR(C36="PURCHASE",C36="OPENING"),G36*IF(F36="CARTON",_xlfn.XLOOKUP(D36,'ITEM MASTER'!$A:$A,'ITEM MASTER'!$H:$H,1),1),0)</f>
        <v>0</v>
      </c>
      <c r="J36">
        <f>IF(C36="SALE",G36*IF(F36="CARTON",_xlfn.XLOOKUP(D36,'ITEM MASTER'!$A:$A,'ITEM MASTER'!$H:$H,1),1),0)</f>
        <v>0</v>
      </c>
      <c r="K36">
        <f>SUMIFS($I$2:I36,$D$2:D36,D36)-SUMIFS($J$2:J36,$D$2:D36,D36)</f>
        <v>0</v>
      </c>
    </row>
    <row r="37" spans="5:11" x14ac:dyDescent="0.3">
      <c r="E37">
        <f>IFERROR(_xlfn.XLOOKUP(D37,'ITEM MASTER'!$A:$A,'ITEM MASTER'!$B:$B,""),"")</f>
        <v>0</v>
      </c>
      <c r="F37" t="s">
        <v>44</v>
      </c>
      <c r="H37">
        <f>IFERROR(_xlfn.XLOOKUP(D37,'ITEM MASTER'!$A:$A,'ITEM MASTER'!$I:$I,"")*IF(F37="CARTON",_xlfn.XLOOKUP(D37,'ITEM MASTER'!$A:$A,'ITEM MASTER'!$H:$H,1),1),"")</f>
        <v>0</v>
      </c>
      <c r="I37">
        <f>IF(OR(C37="PURCHASE",C37="OPENING"),G37*IF(F37="CARTON",_xlfn.XLOOKUP(D37,'ITEM MASTER'!$A:$A,'ITEM MASTER'!$H:$H,1),1),0)</f>
        <v>0</v>
      </c>
      <c r="J37">
        <f>IF(C37="SALE",G37*IF(F37="CARTON",_xlfn.XLOOKUP(D37,'ITEM MASTER'!$A:$A,'ITEM MASTER'!$H:$H,1),1),0)</f>
        <v>0</v>
      </c>
      <c r="K37">
        <f>SUMIFS($I$2:I37,$D$2:D37,D37)-SUMIFS($J$2:J37,$D$2:D37,D37)</f>
        <v>0</v>
      </c>
    </row>
    <row r="38" spans="5:11" x14ac:dyDescent="0.3">
      <c r="E38">
        <f>IFERROR(_xlfn.XLOOKUP(D38,'ITEM MASTER'!$A:$A,'ITEM MASTER'!$B:$B,""),"")</f>
        <v>0</v>
      </c>
      <c r="F38" t="s">
        <v>44</v>
      </c>
      <c r="H38">
        <f>IFERROR(_xlfn.XLOOKUP(D38,'ITEM MASTER'!$A:$A,'ITEM MASTER'!$I:$I,"")*IF(F38="CARTON",_xlfn.XLOOKUP(D38,'ITEM MASTER'!$A:$A,'ITEM MASTER'!$H:$H,1),1),"")</f>
        <v>0</v>
      </c>
      <c r="I38">
        <f>IF(OR(C38="PURCHASE",C38="OPENING"),G38*IF(F38="CARTON",_xlfn.XLOOKUP(D38,'ITEM MASTER'!$A:$A,'ITEM MASTER'!$H:$H,1),1),0)</f>
        <v>0</v>
      </c>
      <c r="J38">
        <f>IF(C38="SALE",G38*IF(F38="CARTON",_xlfn.XLOOKUP(D38,'ITEM MASTER'!$A:$A,'ITEM MASTER'!$H:$H,1),1),0)</f>
        <v>0</v>
      </c>
      <c r="K38">
        <f>SUMIFS($I$2:I38,$D$2:D38,D38)-SUMIFS($J$2:J38,$D$2:D38,D38)</f>
        <v>0</v>
      </c>
    </row>
    <row r="39" spans="5:11" x14ac:dyDescent="0.3">
      <c r="E39">
        <f>IFERROR(_xlfn.XLOOKUP(D39,'ITEM MASTER'!$A:$A,'ITEM MASTER'!$B:$B,""),"")</f>
        <v>0</v>
      </c>
      <c r="F39" t="s">
        <v>44</v>
      </c>
      <c r="H39">
        <f>IFERROR(_xlfn.XLOOKUP(D39,'ITEM MASTER'!$A:$A,'ITEM MASTER'!$I:$I,"")*IF(F39="CARTON",_xlfn.XLOOKUP(D39,'ITEM MASTER'!$A:$A,'ITEM MASTER'!$H:$H,1),1),"")</f>
        <v>0</v>
      </c>
      <c r="I39">
        <f>IF(OR(C39="PURCHASE",C39="OPENING"),G39*IF(F39="CARTON",_xlfn.XLOOKUP(D39,'ITEM MASTER'!$A:$A,'ITEM MASTER'!$H:$H,1),1),0)</f>
        <v>0</v>
      </c>
      <c r="J39">
        <f>IF(C39="SALE",G39*IF(F39="CARTON",_xlfn.XLOOKUP(D39,'ITEM MASTER'!$A:$A,'ITEM MASTER'!$H:$H,1),1),0)</f>
        <v>0</v>
      </c>
      <c r="K39">
        <f>SUMIFS($I$2:I39,$D$2:D39,D39)-SUMIFS($J$2:J39,$D$2:D39,D39)</f>
        <v>0</v>
      </c>
    </row>
    <row r="40" spans="5:11" x14ac:dyDescent="0.3">
      <c r="E40">
        <f>IFERROR(_xlfn.XLOOKUP(D40,'ITEM MASTER'!$A:$A,'ITEM MASTER'!$B:$B,""),"")</f>
        <v>0</v>
      </c>
      <c r="F40" t="s">
        <v>44</v>
      </c>
      <c r="H40">
        <f>IFERROR(_xlfn.XLOOKUP(D40,'ITEM MASTER'!$A:$A,'ITEM MASTER'!$I:$I,"")*IF(F40="CARTON",_xlfn.XLOOKUP(D40,'ITEM MASTER'!$A:$A,'ITEM MASTER'!$H:$H,1),1),"")</f>
        <v>0</v>
      </c>
      <c r="I40">
        <f>IF(OR(C40="PURCHASE",C40="OPENING"),G40*IF(F40="CARTON",_xlfn.XLOOKUP(D40,'ITEM MASTER'!$A:$A,'ITEM MASTER'!$H:$H,1),1),0)</f>
        <v>0</v>
      </c>
      <c r="J40">
        <f>IF(C40="SALE",G40*IF(F40="CARTON",_xlfn.XLOOKUP(D40,'ITEM MASTER'!$A:$A,'ITEM MASTER'!$H:$H,1),1),0)</f>
        <v>0</v>
      </c>
      <c r="K40">
        <f>SUMIFS($I$2:I40,$D$2:D40,D40)-SUMIFS($J$2:J40,$D$2:D40,D40)</f>
        <v>0</v>
      </c>
    </row>
    <row r="41" spans="5:11" x14ac:dyDescent="0.3">
      <c r="E41">
        <f>IFERROR(_xlfn.XLOOKUP(D41,'ITEM MASTER'!$A:$A,'ITEM MASTER'!$B:$B,""),"")</f>
        <v>0</v>
      </c>
      <c r="F41" t="s">
        <v>44</v>
      </c>
      <c r="H41">
        <f>IFERROR(_xlfn.XLOOKUP(D41,'ITEM MASTER'!$A:$A,'ITEM MASTER'!$I:$I,"")*IF(F41="CARTON",_xlfn.XLOOKUP(D41,'ITEM MASTER'!$A:$A,'ITEM MASTER'!$H:$H,1),1),"")</f>
        <v>0</v>
      </c>
      <c r="I41">
        <f>IF(OR(C41="PURCHASE",C41="OPENING"),G41*IF(F41="CARTON",_xlfn.XLOOKUP(D41,'ITEM MASTER'!$A:$A,'ITEM MASTER'!$H:$H,1),1),0)</f>
        <v>0</v>
      </c>
      <c r="J41">
        <f>IF(C41="SALE",G41*IF(F41="CARTON",_xlfn.XLOOKUP(D41,'ITEM MASTER'!$A:$A,'ITEM MASTER'!$H:$H,1),1),0)</f>
        <v>0</v>
      </c>
      <c r="K41">
        <f>SUMIFS($I$2:I41,$D$2:D41,D41)-SUMIFS($J$2:J41,$D$2:D41,D41)</f>
        <v>0</v>
      </c>
    </row>
    <row r="42" spans="5:11" x14ac:dyDescent="0.3">
      <c r="E42">
        <f>IFERROR(_xlfn.XLOOKUP(D42,'ITEM MASTER'!$A:$A,'ITEM MASTER'!$B:$B,""),"")</f>
        <v>0</v>
      </c>
      <c r="F42" t="s">
        <v>44</v>
      </c>
      <c r="H42">
        <f>IFERROR(_xlfn.XLOOKUP(D42,'ITEM MASTER'!$A:$A,'ITEM MASTER'!$I:$I,"")*IF(F42="CARTON",_xlfn.XLOOKUP(D42,'ITEM MASTER'!$A:$A,'ITEM MASTER'!$H:$H,1),1),"")</f>
        <v>0</v>
      </c>
      <c r="I42">
        <f>IF(OR(C42="PURCHASE",C42="OPENING"),G42*IF(F42="CARTON",_xlfn.XLOOKUP(D42,'ITEM MASTER'!$A:$A,'ITEM MASTER'!$H:$H,1),1),0)</f>
        <v>0</v>
      </c>
      <c r="J42">
        <f>IF(C42="SALE",G42*IF(F42="CARTON",_xlfn.XLOOKUP(D42,'ITEM MASTER'!$A:$A,'ITEM MASTER'!$H:$H,1),1),0)</f>
        <v>0</v>
      </c>
      <c r="K42">
        <f>SUMIFS($I$2:I42,$D$2:D42,D42)-SUMIFS($J$2:J42,$D$2:D42,D42)</f>
        <v>0</v>
      </c>
    </row>
    <row r="43" spans="5:11" x14ac:dyDescent="0.3">
      <c r="E43">
        <f>IFERROR(_xlfn.XLOOKUP(D43,'ITEM MASTER'!$A:$A,'ITEM MASTER'!$B:$B,""),"")</f>
        <v>0</v>
      </c>
      <c r="F43" t="s">
        <v>44</v>
      </c>
      <c r="H43">
        <f>IFERROR(_xlfn.XLOOKUP(D43,'ITEM MASTER'!$A:$A,'ITEM MASTER'!$I:$I,"")*IF(F43="CARTON",_xlfn.XLOOKUP(D43,'ITEM MASTER'!$A:$A,'ITEM MASTER'!$H:$H,1),1),"")</f>
        <v>0</v>
      </c>
      <c r="I43">
        <f>IF(OR(C43="PURCHASE",C43="OPENING"),G43*IF(F43="CARTON",_xlfn.XLOOKUP(D43,'ITEM MASTER'!$A:$A,'ITEM MASTER'!$H:$H,1),1),0)</f>
        <v>0</v>
      </c>
      <c r="J43">
        <f>IF(C43="SALE",G43*IF(F43="CARTON",_xlfn.XLOOKUP(D43,'ITEM MASTER'!$A:$A,'ITEM MASTER'!$H:$H,1),1),0)</f>
        <v>0</v>
      </c>
      <c r="K43">
        <f>SUMIFS($I$2:I43,$D$2:D43,D43)-SUMIFS($J$2:J43,$D$2:D43,D43)</f>
        <v>0</v>
      </c>
    </row>
    <row r="44" spans="5:11" x14ac:dyDescent="0.3">
      <c r="E44">
        <f>IFERROR(_xlfn.XLOOKUP(D44,'ITEM MASTER'!$A:$A,'ITEM MASTER'!$B:$B,""),"")</f>
        <v>0</v>
      </c>
      <c r="F44" t="s">
        <v>44</v>
      </c>
      <c r="H44">
        <f>IFERROR(_xlfn.XLOOKUP(D44,'ITEM MASTER'!$A:$A,'ITEM MASTER'!$I:$I,"")*IF(F44="CARTON",_xlfn.XLOOKUP(D44,'ITEM MASTER'!$A:$A,'ITEM MASTER'!$H:$H,1),1),"")</f>
        <v>0</v>
      </c>
      <c r="I44">
        <f>IF(OR(C44="PURCHASE",C44="OPENING"),G44*IF(F44="CARTON",_xlfn.XLOOKUP(D44,'ITEM MASTER'!$A:$A,'ITEM MASTER'!$H:$H,1),1),0)</f>
        <v>0</v>
      </c>
      <c r="J44">
        <f>IF(C44="SALE",G44*IF(F44="CARTON",_xlfn.XLOOKUP(D44,'ITEM MASTER'!$A:$A,'ITEM MASTER'!$H:$H,1),1),0)</f>
        <v>0</v>
      </c>
      <c r="K44">
        <f>SUMIFS($I$2:I44,$D$2:D44,D44)-SUMIFS($J$2:J44,$D$2:D44,D44)</f>
        <v>0</v>
      </c>
    </row>
    <row r="45" spans="5:11" x14ac:dyDescent="0.3">
      <c r="E45">
        <f>IFERROR(_xlfn.XLOOKUP(D45,'ITEM MASTER'!$A:$A,'ITEM MASTER'!$B:$B,""),"")</f>
        <v>0</v>
      </c>
      <c r="F45" t="s">
        <v>44</v>
      </c>
      <c r="H45">
        <f>IFERROR(_xlfn.XLOOKUP(D45,'ITEM MASTER'!$A:$A,'ITEM MASTER'!$I:$I,"")*IF(F45="CARTON",_xlfn.XLOOKUP(D45,'ITEM MASTER'!$A:$A,'ITEM MASTER'!$H:$H,1),1),"")</f>
        <v>0</v>
      </c>
      <c r="I45">
        <f>IF(OR(C45="PURCHASE",C45="OPENING"),G45*IF(F45="CARTON",_xlfn.XLOOKUP(D45,'ITEM MASTER'!$A:$A,'ITEM MASTER'!$H:$H,1),1),0)</f>
        <v>0</v>
      </c>
      <c r="J45">
        <f>IF(C45="SALE",G45*IF(F45="CARTON",_xlfn.XLOOKUP(D45,'ITEM MASTER'!$A:$A,'ITEM MASTER'!$H:$H,1),1),0)</f>
        <v>0</v>
      </c>
      <c r="K45">
        <f>SUMIFS($I$2:I45,$D$2:D45,D45)-SUMIFS($J$2:J45,$D$2:D45,D45)</f>
        <v>0</v>
      </c>
    </row>
    <row r="46" spans="5:11" x14ac:dyDescent="0.3">
      <c r="E46">
        <f>IFERROR(_xlfn.XLOOKUP(D46,'ITEM MASTER'!$A:$A,'ITEM MASTER'!$B:$B,""),"")</f>
        <v>0</v>
      </c>
      <c r="F46" t="s">
        <v>44</v>
      </c>
      <c r="H46">
        <f>IFERROR(_xlfn.XLOOKUP(D46,'ITEM MASTER'!$A:$A,'ITEM MASTER'!$I:$I,"")*IF(F46="CARTON",_xlfn.XLOOKUP(D46,'ITEM MASTER'!$A:$A,'ITEM MASTER'!$H:$H,1),1),"")</f>
        <v>0</v>
      </c>
      <c r="I46">
        <f>IF(OR(C46="PURCHASE",C46="OPENING"),G46*IF(F46="CARTON",_xlfn.XLOOKUP(D46,'ITEM MASTER'!$A:$A,'ITEM MASTER'!$H:$H,1),1),0)</f>
        <v>0</v>
      </c>
      <c r="J46">
        <f>IF(C46="SALE",G46*IF(F46="CARTON",_xlfn.XLOOKUP(D46,'ITEM MASTER'!$A:$A,'ITEM MASTER'!$H:$H,1),1),0)</f>
        <v>0</v>
      </c>
      <c r="K46">
        <f>SUMIFS($I$2:I46,$D$2:D46,D46)-SUMIFS($J$2:J46,$D$2:D46,D46)</f>
        <v>0</v>
      </c>
    </row>
    <row r="47" spans="5:11" x14ac:dyDescent="0.3">
      <c r="E47">
        <f>IFERROR(_xlfn.XLOOKUP(D47,'ITEM MASTER'!$A:$A,'ITEM MASTER'!$B:$B,""),"")</f>
        <v>0</v>
      </c>
      <c r="F47" t="s">
        <v>44</v>
      </c>
      <c r="H47">
        <f>IFERROR(_xlfn.XLOOKUP(D47,'ITEM MASTER'!$A:$A,'ITEM MASTER'!$I:$I,"")*IF(F47="CARTON",_xlfn.XLOOKUP(D47,'ITEM MASTER'!$A:$A,'ITEM MASTER'!$H:$H,1),1),"")</f>
        <v>0</v>
      </c>
      <c r="I47">
        <f>IF(OR(C47="PURCHASE",C47="OPENING"),G47*IF(F47="CARTON",_xlfn.XLOOKUP(D47,'ITEM MASTER'!$A:$A,'ITEM MASTER'!$H:$H,1),1),0)</f>
        <v>0</v>
      </c>
      <c r="J47">
        <f>IF(C47="SALE",G47*IF(F47="CARTON",_xlfn.XLOOKUP(D47,'ITEM MASTER'!$A:$A,'ITEM MASTER'!$H:$H,1),1),0)</f>
        <v>0</v>
      </c>
      <c r="K47">
        <f>SUMIFS($I$2:I47,$D$2:D47,D47)-SUMIFS($J$2:J47,$D$2:D47,D47)</f>
        <v>0</v>
      </c>
    </row>
    <row r="48" spans="5:11" x14ac:dyDescent="0.3">
      <c r="E48">
        <f>IFERROR(_xlfn.XLOOKUP(D48,'ITEM MASTER'!$A:$A,'ITEM MASTER'!$B:$B,""),"")</f>
        <v>0</v>
      </c>
      <c r="F48" t="s">
        <v>44</v>
      </c>
      <c r="H48">
        <f>IFERROR(_xlfn.XLOOKUP(D48,'ITEM MASTER'!$A:$A,'ITEM MASTER'!$I:$I,"")*IF(F48="CARTON",_xlfn.XLOOKUP(D48,'ITEM MASTER'!$A:$A,'ITEM MASTER'!$H:$H,1),1),"")</f>
        <v>0</v>
      </c>
      <c r="I48">
        <f>IF(OR(C48="PURCHASE",C48="OPENING"),G48*IF(F48="CARTON",_xlfn.XLOOKUP(D48,'ITEM MASTER'!$A:$A,'ITEM MASTER'!$H:$H,1),1),0)</f>
        <v>0</v>
      </c>
      <c r="J48">
        <f>IF(C48="SALE",G48*IF(F48="CARTON",_xlfn.XLOOKUP(D48,'ITEM MASTER'!$A:$A,'ITEM MASTER'!$H:$H,1),1),0)</f>
        <v>0</v>
      </c>
      <c r="K48">
        <f>SUMIFS($I$2:I48,$D$2:D48,D48)-SUMIFS($J$2:J48,$D$2:D48,D48)</f>
        <v>0</v>
      </c>
    </row>
    <row r="49" spans="5:11" x14ac:dyDescent="0.3">
      <c r="E49">
        <f>IFERROR(_xlfn.XLOOKUP(D49,'ITEM MASTER'!$A:$A,'ITEM MASTER'!$B:$B,""),"")</f>
        <v>0</v>
      </c>
      <c r="F49" t="s">
        <v>44</v>
      </c>
      <c r="H49">
        <f>IFERROR(_xlfn.XLOOKUP(D49,'ITEM MASTER'!$A:$A,'ITEM MASTER'!$I:$I,"")*IF(F49="CARTON",_xlfn.XLOOKUP(D49,'ITEM MASTER'!$A:$A,'ITEM MASTER'!$H:$H,1),1),"")</f>
        <v>0</v>
      </c>
      <c r="I49">
        <f>IF(OR(C49="PURCHASE",C49="OPENING"),G49*IF(F49="CARTON",_xlfn.XLOOKUP(D49,'ITEM MASTER'!$A:$A,'ITEM MASTER'!$H:$H,1),1),0)</f>
        <v>0</v>
      </c>
      <c r="J49">
        <f>IF(C49="SALE",G49*IF(F49="CARTON",_xlfn.XLOOKUP(D49,'ITEM MASTER'!$A:$A,'ITEM MASTER'!$H:$H,1),1),0)</f>
        <v>0</v>
      </c>
      <c r="K49">
        <f>SUMIFS($I$2:I49,$D$2:D49,D49)-SUMIFS($J$2:J49,$D$2:D49,D49)</f>
        <v>0</v>
      </c>
    </row>
    <row r="50" spans="5:11" x14ac:dyDescent="0.3">
      <c r="E50">
        <f>IFERROR(_xlfn.XLOOKUP(D50,'ITEM MASTER'!$A:$A,'ITEM MASTER'!$B:$B,""),"")</f>
        <v>0</v>
      </c>
      <c r="F50" t="s">
        <v>44</v>
      </c>
      <c r="H50">
        <f>IFERROR(_xlfn.XLOOKUP(D50,'ITEM MASTER'!$A:$A,'ITEM MASTER'!$I:$I,"")*IF(F50="CARTON",_xlfn.XLOOKUP(D50,'ITEM MASTER'!$A:$A,'ITEM MASTER'!$H:$H,1),1),"")</f>
        <v>0</v>
      </c>
      <c r="I50">
        <f>IF(OR(C50="PURCHASE",C50="OPENING"),G50*IF(F50="CARTON",_xlfn.XLOOKUP(D50,'ITEM MASTER'!$A:$A,'ITEM MASTER'!$H:$H,1),1),0)</f>
        <v>0</v>
      </c>
      <c r="J50">
        <f>IF(C50="SALE",G50*IF(F50="CARTON",_xlfn.XLOOKUP(D50,'ITEM MASTER'!$A:$A,'ITEM MASTER'!$H:$H,1),1),0)</f>
        <v>0</v>
      </c>
      <c r="K50">
        <f>SUMIFS($I$2:I50,$D$2:D50,D50)-SUMIFS($J$2:J50,$D$2:D50,D50)</f>
        <v>0</v>
      </c>
    </row>
    <row r="51" spans="5:11" x14ac:dyDescent="0.3">
      <c r="E51">
        <f>IFERROR(_xlfn.XLOOKUP(D51,'ITEM MASTER'!$A:$A,'ITEM MASTER'!$B:$B,""),"")</f>
        <v>0</v>
      </c>
      <c r="F51" t="s">
        <v>44</v>
      </c>
      <c r="H51">
        <f>IFERROR(_xlfn.XLOOKUP(D51,'ITEM MASTER'!$A:$A,'ITEM MASTER'!$I:$I,"")*IF(F51="CARTON",_xlfn.XLOOKUP(D51,'ITEM MASTER'!$A:$A,'ITEM MASTER'!$H:$H,1),1),"")</f>
        <v>0</v>
      </c>
      <c r="I51">
        <f>IF(OR(C51="PURCHASE",C51="OPENING"),G51*IF(F51="CARTON",_xlfn.XLOOKUP(D51,'ITEM MASTER'!$A:$A,'ITEM MASTER'!$H:$H,1),1),0)</f>
        <v>0</v>
      </c>
      <c r="J51">
        <f>IF(C51="SALE",G51*IF(F51="CARTON",_xlfn.XLOOKUP(D51,'ITEM MASTER'!$A:$A,'ITEM MASTER'!$H:$H,1),1),0)</f>
        <v>0</v>
      </c>
      <c r="K51">
        <f>SUMIFS($I$2:I51,$D$2:D51,D51)-SUMIFS($J$2:J51,$D$2:D51,D51)</f>
        <v>0</v>
      </c>
    </row>
    <row r="52" spans="5:11" x14ac:dyDescent="0.3">
      <c r="E52">
        <f>IFERROR(_xlfn.XLOOKUP(D52,'ITEM MASTER'!$A:$A,'ITEM MASTER'!$B:$B,""),"")</f>
        <v>0</v>
      </c>
      <c r="F52" t="s">
        <v>44</v>
      </c>
      <c r="H52">
        <f>IFERROR(_xlfn.XLOOKUP(D52,'ITEM MASTER'!$A:$A,'ITEM MASTER'!$I:$I,"")*IF(F52="CARTON",_xlfn.XLOOKUP(D52,'ITEM MASTER'!$A:$A,'ITEM MASTER'!$H:$H,1),1),"")</f>
        <v>0</v>
      </c>
      <c r="I52">
        <f>IF(OR(C52="PURCHASE",C52="OPENING"),G52*IF(F52="CARTON",_xlfn.XLOOKUP(D52,'ITEM MASTER'!$A:$A,'ITEM MASTER'!$H:$H,1),1),0)</f>
        <v>0</v>
      </c>
      <c r="J52">
        <f>IF(C52="SALE",G52*IF(F52="CARTON",_xlfn.XLOOKUP(D52,'ITEM MASTER'!$A:$A,'ITEM MASTER'!$H:$H,1),1),0)</f>
        <v>0</v>
      </c>
      <c r="K52">
        <f>SUMIFS($I$2:I52,$D$2:D52,D52)-SUMIFS($J$2:J52,$D$2:D52,D52)</f>
        <v>0</v>
      </c>
    </row>
    <row r="53" spans="5:11" x14ac:dyDescent="0.3">
      <c r="E53">
        <f>IFERROR(_xlfn.XLOOKUP(D53,'ITEM MASTER'!$A:$A,'ITEM MASTER'!$B:$B,""),"")</f>
        <v>0</v>
      </c>
      <c r="F53" t="s">
        <v>44</v>
      </c>
      <c r="H53">
        <f>IFERROR(_xlfn.XLOOKUP(D53,'ITEM MASTER'!$A:$A,'ITEM MASTER'!$I:$I,"")*IF(F53="CARTON",_xlfn.XLOOKUP(D53,'ITEM MASTER'!$A:$A,'ITEM MASTER'!$H:$H,1),1),"")</f>
        <v>0</v>
      </c>
      <c r="I53">
        <f>IF(OR(C53="PURCHASE",C53="OPENING"),G53*IF(F53="CARTON",_xlfn.XLOOKUP(D53,'ITEM MASTER'!$A:$A,'ITEM MASTER'!$H:$H,1),1),0)</f>
        <v>0</v>
      </c>
      <c r="J53">
        <f>IF(C53="SALE",G53*IF(F53="CARTON",_xlfn.XLOOKUP(D53,'ITEM MASTER'!$A:$A,'ITEM MASTER'!$H:$H,1),1),0)</f>
        <v>0</v>
      </c>
      <c r="K53">
        <f>SUMIFS($I$2:I53,$D$2:D53,D53)-SUMIFS($J$2:J53,$D$2:D53,D53)</f>
        <v>0</v>
      </c>
    </row>
    <row r="54" spans="5:11" x14ac:dyDescent="0.3">
      <c r="E54">
        <f>IFERROR(_xlfn.XLOOKUP(D54,'ITEM MASTER'!$A:$A,'ITEM MASTER'!$B:$B,""),"")</f>
        <v>0</v>
      </c>
      <c r="F54" t="s">
        <v>44</v>
      </c>
      <c r="H54">
        <f>IFERROR(_xlfn.XLOOKUP(D54,'ITEM MASTER'!$A:$A,'ITEM MASTER'!$I:$I,"")*IF(F54="CARTON",_xlfn.XLOOKUP(D54,'ITEM MASTER'!$A:$A,'ITEM MASTER'!$H:$H,1),1),"")</f>
        <v>0</v>
      </c>
      <c r="I54">
        <f>IF(OR(C54="PURCHASE",C54="OPENING"),G54*IF(F54="CARTON",_xlfn.XLOOKUP(D54,'ITEM MASTER'!$A:$A,'ITEM MASTER'!$H:$H,1),1),0)</f>
        <v>0</v>
      </c>
      <c r="J54">
        <f>IF(C54="SALE",G54*IF(F54="CARTON",_xlfn.XLOOKUP(D54,'ITEM MASTER'!$A:$A,'ITEM MASTER'!$H:$H,1),1),0)</f>
        <v>0</v>
      </c>
      <c r="K54">
        <f>SUMIFS($I$2:I54,$D$2:D54,D54)-SUMIFS($J$2:J54,$D$2:D54,D54)</f>
        <v>0</v>
      </c>
    </row>
    <row r="55" spans="5:11" x14ac:dyDescent="0.3">
      <c r="E55">
        <f>IFERROR(_xlfn.XLOOKUP(D55,'ITEM MASTER'!$A:$A,'ITEM MASTER'!$B:$B,""),"")</f>
        <v>0</v>
      </c>
      <c r="F55" t="s">
        <v>44</v>
      </c>
      <c r="H55">
        <f>IFERROR(_xlfn.XLOOKUP(D55,'ITEM MASTER'!$A:$A,'ITEM MASTER'!$I:$I,"")*IF(F55="CARTON",_xlfn.XLOOKUP(D55,'ITEM MASTER'!$A:$A,'ITEM MASTER'!$H:$H,1),1),"")</f>
        <v>0</v>
      </c>
      <c r="I55">
        <f>IF(OR(C55="PURCHASE",C55="OPENING"),G55*IF(F55="CARTON",_xlfn.XLOOKUP(D55,'ITEM MASTER'!$A:$A,'ITEM MASTER'!$H:$H,1),1),0)</f>
        <v>0</v>
      </c>
      <c r="J55">
        <f>IF(C55="SALE",G55*IF(F55="CARTON",_xlfn.XLOOKUP(D55,'ITEM MASTER'!$A:$A,'ITEM MASTER'!$H:$H,1),1),0)</f>
        <v>0</v>
      </c>
      <c r="K55">
        <f>SUMIFS($I$2:I55,$D$2:D55,D55)-SUMIFS($J$2:J55,$D$2:D55,D55)</f>
        <v>0</v>
      </c>
    </row>
    <row r="56" spans="5:11" x14ac:dyDescent="0.3">
      <c r="E56">
        <f>IFERROR(_xlfn.XLOOKUP(D56,'ITEM MASTER'!$A:$A,'ITEM MASTER'!$B:$B,""),"")</f>
        <v>0</v>
      </c>
      <c r="F56" t="s">
        <v>44</v>
      </c>
      <c r="H56">
        <f>IFERROR(_xlfn.XLOOKUP(D56,'ITEM MASTER'!$A:$A,'ITEM MASTER'!$I:$I,"")*IF(F56="CARTON",_xlfn.XLOOKUP(D56,'ITEM MASTER'!$A:$A,'ITEM MASTER'!$H:$H,1),1),"")</f>
        <v>0</v>
      </c>
      <c r="I56">
        <f>IF(OR(C56="PURCHASE",C56="OPENING"),G56*IF(F56="CARTON",_xlfn.XLOOKUP(D56,'ITEM MASTER'!$A:$A,'ITEM MASTER'!$H:$H,1),1),0)</f>
        <v>0</v>
      </c>
      <c r="J56">
        <f>IF(C56="SALE",G56*IF(F56="CARTON",_xlfn.XLOOKUP(D56,'ITEM MASTER'!$A:$A,'ITEM MASTER'!$H:$H,1),1),0)</f>
        <v>0</v>
      </c>
      <c r="K56">
        <f>SUMIFS($I$2:I56,$D$2:D56,D56)-SUMIFS($J$2:J56,$D$2:D56,D56)</f>
        <v>0</v>
      </c>
    </row>
    <row r="57" spans="5:11" x14ac:dyDescent="0.3">
      <c r="E57">
        <f>IFERROR(_xlfn.XLOOKUP(D57,'ITEM MASTER'!$A:$A,'ITEM MASTER'!$B:$B,""),"")</f>
        <v>0</v>
      </c>
      <c r="F57" t="s">
        <v>44</v>
      </c>
      <c r="H57">
        <f>IFERROR(_xlfn.XLOOKUP(D57,'ITEM MASTER'!$A:$A,'ITEM MASTER'!$I:$I,"")*IF(F57="CARTON",_xlfn.XLOOKUP(D57,'ITEM MASTER'!$A:$A,'ITEM MASTER'!$H:$H,1),1),"")</f>
        <v>0</v>
      </c>
      <c r="I57">
        <f>IF(OR(C57="PURCHASE",C57="OPENING"),G57*IF(F57="CARTON",_xlfn.XLOOKUP(D57,'ITEM MASTER'!$A:$A,'ITEM MASTER'!$H:$H,1),1),0)</f>
        <v>0</v>
      </c>
      <c r="J57">
        <f>IF(C57="SALE",G57*IF(F57="CARTON",_xlfn.XLOOKUP(D57,'ITEM MASTER'!$A:$A,'ITEM MASTER'!$H:$H,1),1),0)</f>
        <v>0</v>
      </c>
      <c r="K57">
        <f>SUMIFS($I$2:I57,$D$2:D57,D57)-SUMIFS($J$2:J57,$D$2:D57,D57)</f>
        <v>0</v>
      </c>
    </row>
    <row r="58" spans="5:11" x14ac:dyDescent="0.3">
      <c r="E58">
        <f>IFERROR(_xlfn.XLOOKUP(D58,'ITEM MASTER'!$A:$A,'ITEM MASTER'!$B:$B,""),"")</f>
        <v>0</v>
      </c>
      <c r="F58" t="s">
        <v>44</v>
      </c>
      <c r="H58">
        <f>IFERROR(_xlfn.XLOOKUP(D58,'ITEM MASTER'!$A:$A,'ITEM MASTER'!$I:$I,"")*IF(F58="CARTON",_xlfn.XLOOKUP(D58,'ITEM MASTER'!$A:$A,'ITEM MASTER'!$H:$H,1),1),"")</f>
        <v>0</v>
      </c>
      <c r="I58">
        <f>IF(OR(C58="PURCHASE",C58="OPENING"),G58*IF(F58="CARTON",_xlfn.XLOOKUP(D58,'ITEM MASTER'!$A:$A,'ITEM MASTER'!$H:$H,1),1),0)</f>
        <v>0</v>
      </c>
      <c r="J58">
        <f>IF(C58="SALE",G58*IF(F58="CARTON",_xlfn.XLOOKUP(D58,'ITEM MASTER'!$A:$A,'ITEM MASTER'!$H:$H,1),1),0)</f>
        <v>0</v>
      </c>
      <c r="K58">
        <f>SUMIFS($I$2:I58,$D$2:D58,D58)-SUMIFS($J$2:J58,$D$2:D58,D58)</f>
        <v>0</v>
      </c>
    </row>
    <row r="59" spans="5:11" x14ac:dyDescent="0.3">
      <c r="E59">
        <f>IFERROR(_xlfn.XLOOKUP(D59,'ITEM MASTER'!$A:$A,'ITEM MASTER'!$B:$B,""),"")</f>
        <v>0</v>
      </c>
      <c r="F59" t="s">
        <v>44</v>
      </c>
      <c r="H59">
        <f>IFERROR(_xlfn.XLOOKUP(D59,'ITEM MASTER'!$A:$A,'ITEM MASTER'!$I:$I,"")*IF(F59="CARTON",_xlfn.XLOOKUP(D59,'ITEM MASTER'!$A:$A,'ITEM MASTER'!$H:$H,1),1),"")</f>
        <v>0</v>
      </c>
      <c r="I59">
        <f>IF(OR(C59="PURCHASE",C59="OPENING"),G59*IF(F59="CARTON",_xlfn.XLOOKUP(D59,'ITEM MASTER'!$A:$A,'ITEM MASTER'!$H:$H,1),1),0)</f>
        <v>0</v>
      </c>
      <c r="J59">
        <f>IF(C59="SALE",G59*IF(F59="CARTON",_xlfn.XLOOKUP(D59,'ITEM MASTER'!$A:$A,'ITEM MASTER'!$H:$H,1),1),0)</f>
        <v>0</v>
      </c>
      <c r="K59">
        <f>SUMIFS($I$2:I59,$D$2:D59,D59)-SUMIFS($J$2:J59,$D$2:D59,D59)</f>
        <v>0</v>
      </c>
    </row>
    <row r="60" spans="5:11" x14ac:dyDescent="0.3">
      <c r="E60">
        <f>IFERROR(_xlfn.XLOOKUP(D60,'ITEM MASTER'!$A:$A,'ITEM MASTER'!$B:$B,""),"")</f>
        <v>0</v>
      </c>
      <c r="F60" t="s">
        <v>44</v>
      </c>
      <c r="H60">
        <f>IFERROR(_xlfn.XLOOKUP(D60,'ITEM MASTER'!$A:$A,'ITEM MASTER'!$I:$I,"")*IF(F60="CARTON",_xlfn.XLOOKUP(D60,'ITEM MASTER'!$A:$A,'ITEM MASTER'!$H:$H,1),1),"")</f>
        <v>0</v>
      </c>
      <c r="I60">
        <f>IF(OR(C60="PURCHASE",C60="OPENING"),G60*IF(F60="CARTON",_xlfn.XLOOKUP(D60,'ITEM MASTER'!$A:$A,'ITEM MASTER'!$H:$H,1),1),0)</f>
        <v>0</v>
      </c>
      <c r="J60">
        <f>IF(C60="SALE",G60*IF(F60="CARTON",_xlfn.XLOOKUP(D60,'ITEM MASTER'!$A:$A,'ITEM MASTER'!$H:$H,1),1),0)</f>
        <v>0</v>
      </c>
      <c r="K60">
        <f>SUMIFS($I$2:I60,$D$2:D60,D60)-SUMIFS($J$2:J60,$D$2:D60,D60)</f>
        <v>0</v>
      </c>
    </row>
    <row r="61" spans="5:11" x14ac:dyDescent="0.3">
      <c r="E61">
        <f>IFERROR(_xlfn.XLOOKUP(D61,'ITEM MASTER'!$A:$A,'ITEM MASTER'!$B:$B,""),"")</f>
        <v>0</v>
      </c>
      <c r="F61" t="s">
        <v>44</v>
      </c>
      <c r="H61">
        <f>IFERROR(_xlfn.XLOOKUP(D61,'ITEM MASTER'!$A:$A,'ITEM MASTER'!$I:$I,"")*IF(F61="CARTON",_xlfn.XLOOKUP(D61,'ITEM MASTER'!$A:$A,'ITEM MASTER'!$H:$H,1),1),"")</f>
        <v>0</v>
      </c>
      <c r="I61">
        <f>IF(OR(C61="PURCHASE",C61="OPENING"),G61*IF(F61="CARTON",_xlfn.XLOOKUP(D61,'ITEM MASTER'!$A:$A,'ITEM MASTER'!$H:$H,1),1),0)</f>
        <v>0</v>
      </c>
      <c r="J61">
        <f>IF(C61="SALE",G61*IF(F61="CARTON",_xlfn.XLOOKUP(D61,'ITEM MASTER'!$A:$A,'ITEM MASTER'!$H:$H,1),1),0)</f>
        <v>0</v>
      </c>
      <c r="K61">
        <f>SUMIFS($I$2:I61,$D$2:D61,D61)-SUMIFS($J$2:J61,$D$2:D61,D61)</f>
        <v>0</v>
      </c>
    </row>
    <row r="62" spans="5:11" x14ac:dyDescent="0.3">
      <c r="E62">
        <f>IFERROR(_xlfn.XLOOKUP(D62,'ITEM MASTER'!$A:$A,'ITEM MASTER'!$B:$B,""),"")</f>
        <v>0</v>
      </c>
      <c r="F62" t="s">
        <v>44</v>
      </c>
      <c r="H62">
        <f>IFERROR(_xlfn.XLOOKUP(D62,'ITEM MASTER'!$A:$A,'ITEM MASTER'!$I:$I,"")*IF(F62="CARTON",_xlfn.XLOOKUP(D62,'ITEM MASTER'!$A:$A,'ITEM MASTER'!$H:$H,1),1),"")</f>
        <v>0</v>
      </c>
      <c r="I62">
        <f>IF(OR(C62="PURCHASE",C62="OPENING"),G62*IF(F62="CARTON",_xlfn.XLOOKUP(D62,'ITEM MASTER'!$A:$A,'ITEM MASTER'!$H:$H,1),1),0)</f>
        <v>0</v>
      </c>
      <c r="J62">
        <f>IF(C62="SALE",G62*IF(F62="CARTON",_xlfn.XLOOKUP(D62,'ITEM MASTER'!$A:$A,'ITEM MASTER'!$H:$H,1),1),0)</f>
        <v>0</v>
      </c>
      <c r="K62">
        <f>SUMIFS($I$2:I62,$D$2:D62,D62)-SUMIFS($J$2:J62,$D$2:D62,D62)</f>
        <v>0</v>
      </c>
    </row>
    <row r="63" spans="5:11" x14ac:dyDescent="0.3">
      <c r="E63">
        <f>IFERROR(_xlfn.XLOOKUP(D63,'ITEM MASTER'!$A:$A,'ITEM MASTER'!$B:$B,""),"")</f>
        <v>0</v>
      </c>
      <c r="F63" t="s">
        <v>44</v>
      </c>
      <c r="H63">
        <f>IFERROR(_xlfn.XLOOKUP(D63,'ITEM MASTER'!$A:$A,'ITEM MASTER'!$I:$I,"")*IF(F63="CARTON",_xlfn.XLOOKUP(D63,'ITEM MASTER'!$A:$A,'ITEM MASTER'!$H:$H,1),1),"")</f>
        <v>0</v>
      </c>
      <c r="I63">
        <f>IF(OR(C63="PURCHASE",C63="OPENING"),G63*IF(F63="CARTON",_xlfn.XLOOKUP(D63,'ITEM MASTER'!$A:$A,'ITEM MASTER'!$H:$H,1),1),0)</f>
        <v>0</v>
      </c>
      <c r="J63">
        <f>IF(C63="SALE",G63*IF(F63="CARTON",_xlfn.XLOOKUP(D63,'ITEM MASTER'!$A:$A,'ITEM MASTER'!$H:$H,1),1),0)</f>
        <v>0</v>
      </c>
      <c r="K63">
        <f>SUMIFS($I$2:I63,$D$2:D63,D63)-SUMIFS($J$2:J63,$D$2:D63,D63)</f>
        <v>0</v>
      </c>
    </row>
    <row r="64" spans="5:11" x14ac:dyDescent="0.3">
      <c r="E64">
        <f>IFERROR(_xlfn.XLOOKUP(D64,'ITEM MASTER'!$A:$A,'ITEM MASTER'!$B:$B,""),"")</f>
        <v>0</v>
      </c>
      <c r="F64" t="s">
        <v>44</v>
      </c>
      <c r="H64">
        <f>IFERROR(_xlfn.XLOOKUP(D64,'ITEM MASTER'!$A:$A,'ITEM MASTER'!$I:$I,"")*IF(F64="CARTON",_xlfn.XLOOKUP(D64,'ITEM MASTER'!$A:$A,'ITEM MASTER'!$H:$H,1),1),"")</f>
        <v>0</v>
      </c>
      <c r="I64">
        <f>IF(OR(C64="PURCHASE",C64="OPENING"),G64*IF(F64="CARTON",_xlfn.XLOOKUP(D64,'ITEM MASTER'!$A:$A,'ITEM MASTER'!$H:$H,1),1),0)</f>
        <v>0</v>
      </c>
      <c r="J64">
        <f>IF(C64="SALE",G64*IF(F64="CARTON",_xlfn.XLOOKUP(D64,'ITEM MASTER'!$A:$A,'ITEM MASTER'!$H:$H,1),1),0)</f>
        <v>0</v>
      </c>
      <c r="K64">
        <f>SUMIFS($I$2:I64,$D$2:D64,D64)-SUMIFS($J$2:J64,$D$2:D64,D64)</f>
        <v>0</v>
      </c>
    </row>
    <row r="65" spans="5:11" x14ac:dyDescent="0.3">
      <c r="E65">
        <f>IFERROR(_xlfn.XLOOKUP(D65,'ITEM MASTER'!$A:$A,'ITEM MASTER'!$B:$B,""),"")</f>
        <v>0</v>
      </c>
      <c r="F65" t="s">
        <v>44</v>
      </c>
      <c r="H65">
        <f>IFERROR(_xlfn.XLOOKUP(D65,'ITEM MASTER'!$A:$A,'ITEM MASTER'!$I:$I,"")*IF(F65="CARTON",_xlfn.XLOOKUP(D65,'ITEM MASTER'!$A:$A,'ITEM MASTER'!$H:$H,1),1),"")</f>
        <v>0</v>
      </c>
      <c r="I65">
        <f>IF(OR(C65="PURCHASE",C65="OPENING"),G65*IF(F65="CARTON",_xlfn.XLOOKUP(D65,'ITEM MASTER'!$A:$A,'ITEM MASTER'!$H:$H,1),1),0)</f>
        <v>0</v>
      </c>
      <c r="J65">
        <f>IF(C65="SALE",G65*IF(F65="CARTON",_xlfn.XLOOKUP(D65,'ITEM MASTER'!$A:$A,'ITEM MASTER'!$H:$H,1),1),0)</f>
        <v>0</v>
      </c>
      <c r="K65">
        <f>SUMIFS($I$2:I65,$D$2:D65,D65)-SUMIFS($J$2:J65,$D$2:D65,D65)</f>
        <v>0</v>
      </c>
    </row>
    <row r="66" spans="5:11" x14ac:dyDescent="0.3">
      <c r="E66">
        <f>IFERROR(_xlfn.XLOOKUP(D66,'ITEM MASTER'!$A:$A,'ITEM MASTER'!$B:$B,""),"")</f>
        <v>0</v>
      </c>
      <c r="F66" t="s">
        <v>44</v>
      </c>
      <c r="H66">
        <f>IFERROR(_xlfn.XLOOKUP(D66,'ITEM MASTER'!$A:$A,'ITEM MASTER'!$I:$I,"")*IF(F66="CARTON",_xlfn.XLOOKUP(D66,'ITEM MASTER'!$A:$A,'ITEM MASTER'!$H:$H,1),1),"")</f>
        <v>0</v>
      </c>
      <c r="I66">
        <f>IF(OR(C66="PURCHASE",C66="OPENING"),G66*IF(F66="CARTON",_xlfn.XLOOKUP(D66,'ITEM MASTER'!$A:$A,'ITEM MASTER'!$H:$H,1),1),0)</f>
        <v>0</v>
      </c>
      <c r="J66">
        <f>IF(C66="SALE",G66*IF(F66="CARTON",_xlfn.XLOOKUP(D66,'ITEM MASTER'!$A:$A,'ITEM MASTER'!$H:$H,1),1),0)</f>
        <v>0</v>
      </c>
      <c r="K66">
        <f>SUMIFS($I$2:I66,$D$2:D66,D66)-SUMIFS($J$2:J66,$D$2:D66,D66)</f>
        <v>0</v>
      </c>
    </row>
    <row r="67" spans="5:11" x14ac:dyDescent="0.3">
      <c r="E67">
        <f>IFERROR(_xlfn.XLOOKUP(D67,'ITEM MASTER'!$A:$A,'ITEM MASTER'!$B:$B,""),"")</f>
        <v>0</v>
      </c>
      <c r="F67" t="s">
        <v>44</v>
      </c>
      <c r="H67">
        <f>IFERROR(_xlfn.XLOOKUP(D67,'ITEM MASTER'!$A:$A,'ITEM MASTER'!$I:$I,"")*IF(F67="CARTON",_xlfn.XLOOKUP(D67,'ITEM MASTER'!$A:$A,'ITEM MASTER'!$H:$H,1),1),"")</f>
        <v>0</v>
      </c>
      <c r="I67">
        <f>IF(OR(C67="PURCHASE",C67="OPENING"),G67*IF(F67="CARTON",_xlfn.XLOOKUP(D67,'ITEM MASTER'!$A:$A,'ITEM MASTER'!$H:$H,1),1),0)</f>
        <v>0</v>
      </c>
      <c r="J67">
        <f>IF(C67="SALE",G67*IF(F67="CARTON",_xlfn.XLOOKUP(D67,'ITEM MASTER'!$A:$A,'ITEM MASTER'!$H:$H,1),1),0)</f>
        <v>0</v>
      </c>
      <c r="K67">
        <f>SUMIFS($I$2:I67,$D$2:D67,D67)-SUMIFS($J$2:J67,$D$2:D67,D67)</f>
        <v>0</v>
      </c>
    </row>
    <row r="68" spans="5:11" x14ac:dyDescent="0.3">
      <c r="E68">
        <f>IFERROR(_xlfn.XLOOKUP(D68,'ITEM MASTER'!$A:$A,'ITEM MASTER'!$B:$B,""),"")</f>
        <v>0</v>
      </c>
      <c r="F68" t="s">
        <v>44</v>
      </c>
      <c r="H68">
        <f>IFERROR(_xlfn.XLOOKUP(D68,'ITEM MASTER'!$A:$A,'ITEM MASTER'!$I:$I,"")*IF(F68="CARTON",_xlfn.XLOOKUP(D68,'ITEM MASTER'!$A:$A,'ITEM MASTER'!$H:$H,1),1),"")</f>
        <v>0</v>
      </c>
      <c r="I68">
        <f>IF(OR(C68="PURCHASE",C68="OPENING"),G68*IF(F68="CARTON",_xlfn.XLOOKUP(D68,'ITEM MASTER'!$A:$A,'ITEM MASTER'!$H:$H,1),1),0)</f>
        <v>0</v>
      </c>
      <c r="J68">
        <f>IF(C68="SALE",G68*IF(F68="CARTON",_xlfn.XLOOKUP(D68,'ITEM MASTER'!$A:$A,'ITEM MASTER'!$H:$H,1),1),0)</f>
        <v>0</v>
      </c>
      <c r="K68">
        <f>SUMIFS($I$2:I68,$D$2:D68,D68)-SUMIFS($J$2:J68,$D$2:D68,D68)</f>
        <v>0</v>
      </c>
    </row>
    <row r="69" spans="5:11" x14ac:dyDescent="0.3">
      <c r="E69">
        <f>IFERROR(_xlfn.XLOOKUP(D69,'ITEM MASTER'!$A:$A,'ITEM MASTER'!$B:$B,""),"")</f>
        <v>0</v>
      </c>
      <c r="F69" t="s">
        <v>44</v>
      </c>
      <c r="H69">
        <f>IFERROR(_xlfn.XLOOKUP(D69,'ITEM MASTER'!$A:$A,'ITEM MASTER'!$I:$I,"")*IF(F69="CARTON",_xlfn.XLOOKUP(D69,'ITEM MASTER'!$A:$A,'ITEM MASTER'!$H:$H,1),1),"")</f>
        <v>0</v>
      </c>
      <c r="I69">
        <f>IF(OR(C69="PURCHASE",C69="OPENING"),G69*IF(F69="CARTON",_xlfn.XLOOKUP(D69,'ITEM MASTER'!$A:$A,'ITEM MASTER'!$H:$H,1),1),0)</f>
        <v>0</v>
      </c>
      <c r="J69">
        <f>IF(C69="SALE",G69*IF(F69="CARTON",_xlfn.XLOOKUP(D69,'ITEM MASTER'!$A:$A,'ITEM MASTER'!$H:$H,1),1),0)</f>
        <v>0</v>
      </c>
      <c r="K69">
        <f>SUMIFS($I$2:I69,$D$2:D69,D69)-SUMIFS($J$2:J69,$D$2:D69,D69)</f>
        <v>0</v>
      </c>
    </row>
    <row r="70" spans="5:11" x14ac:dyDescent="0.3">
      <c r="E70">
        <f>IFERROR(_xlfn.XLOOKUP(D70,'ITEM MASTER'!$A:$A,'ITEM MASTER'!$B:$B,""),"")</f>
        <v>0</v>
      </c>
      <c r="F70" t="s">
        <v>44</v>
      </c>
      <c r="H70">
        <f>IFERROR(_xlfn.XLOOKUP(D70,'ITEM MASTER'!$A:$A,'ITEM MASTER'!$I:$I,"")*IF(F70="CARTON",_xlfn.XLOOKUP(D70,'ITEM MASTER'!$A:$A,'ITEM MASTER'!$H:$H,1),1),"")</f>
        <v>0</v>
      </c>
      <c r="I70">
        <f>IF(OR(C70="PURCHASE",C70="OPENING"),G70*IF(F70="CARTON",_xlfn.XLOOKUP(D70,'ITEM MASTER'!$A:$A,'ITEM MASTER'!$H:$H,1),1),0)</f>
        <v>0</v>
      </c>
      <c r="J70">
        <f>IF(C70="SALE",G70*IF(F70="CARTON",_xlfn.XLOOKUP(D70,'ITEM MASTER'!$A:$A,'ITEM MASTER'!$H:$H,1),1),0)</f>
        <v>0</v>
      </c>
      <c r="K70">
        <f>SUMIFS($I$2:I70,$D$2:D70,D70)-SUMIFS($J$2:J70,$D$2:D70,D70)</f>
        <v>0</v>
      </c>
    </row>
    <row r="71" spans="5:11" x14ac:dyDescent="0.3">
      <c r="E71">
        <f>IFERROR(_xlfn.XLOOKUP(D71,'ITEM MASTER'!$A:$A,'ITEM MASTER'!$B:$B,""),"")</f>
        <v>0</v>
      </c>
      <c r="F71" t="s">
        <v>44</v>
      </c>
      <c r="H71">
        <f>IFERROR(_xlfn.XLOOKUP(D71,'ITEM MASTER'!$A:$A,'ITEM MASTER'!$I:$I,"")*IF(F71="CARTON",_xlfn.XLOOKUP(D71,'ITEM MASTER'!$A:$A,'ITEM MASTER'!$H:$H,1),1),"")</f>
        <v>0</v>
      </c>
      <c r="I71">
        <f>IF(OR(C71="PURCHASE",C71="OPENING"),G71*IF(F71="CARTON",_xlfn.XLOOKUP(D71,'ITEM MASTER'!$A:$A,'ITEM MASTER'!$H:$H,1),1),0)</f>
        <v>0</v>
      </c>
      <c r="J71">
        <f>IF(C71="SALE",G71*IF(F71="CARTON",_xlfn.XLOOKUP(D71,'ITEM MASTER'!$A:$A,'ITEM MASTER'!$H:$H,1),1),0)</f>
        <v>0</v>
      </c>
      <c r="K71">
        <f>SUMIFS($I$2:I71,$D$2:D71,D71)-SUMIFS($J$2:J71,$D$2:D71,D71)</f>
        <v>0</v>
      </c>
    </row>
    <row r="72" spans="5:11" x14ac:dyDescent="0.3">
      <c r="E72">
        <f>IFERROR(_xlfn.XLOOKUP(D72,'ITEM MASTER'!$A:$A,'ITEM MASTER'!$B:$B,""),"")</f>
        <v>0</v>
      </c>
      <c r="F72" t="s">
        <v>44</v>
      </c>
      <c r="H72">
        <f>IFERROR(_xlfn.XLOOKUP(D72,'ITEM MASTER'!$A:$A,'ITEM MASTER'!$I:$I,"")*IF(F72="CARTON",_xlfn.XLOOKUP(D72,'ITEM MASTER'!$A:$A,'ITEM MASTER'!$H:$H,1),1),"")</f>
        <v>0</v>
      </c>
      <c r="I72">
        <f>IF(OR(C72="PURCHASE",C72="OPENING"),G72*IF(F72="CARTON",_xlfn.XLOOKUP(D72,'ITEM MASTER'!$A:$A,'ITEM MASTER'!$H:$H,1),1),0)</f>
        <v>0</v>
      </c>
      <c r="J72">
        <f>IF(C72="SALE",G72*IF(F72="CARTON",_xlfn.XLOOKUP(D72,'ITEM MASTER'!$A:$A,'ITEM MASTER'!$H:$H,1),1),0)</f>
        <v>0</v>
      </c>
      <c r="K72">
        <f>SUMIFS($I$2:I72,$D$2:D72,D72)-SUMIFS($J$2:J72,$D$2:D72,D72)</f>
        <v>0</v>
      </c>
    </row>
    <row r="73" spans="5:11" x14ac:dyDescent="0.3">
      <c r="E73">
        <f>IFERROR(_xlfn.XLOOKUP(D73,'ITEM MASTER'!$A:$A,'ITEM MASTER'!$B:$B,""),"")</f>
        <v>0</v>
      </c>
      <c r="F73" t="s">
        <v>44</v>
      </c>
      <c r="H73">
        <f>IFERROR(_xlfn.XLOOKUP(D73,'ITEM MASTER'!$A:$A,'ITEM MASTER'!$I:$I,"")*IF(F73="CARTON",_xlfn.XLOOKUP(D73,'ITEM MASTER'!$A:$A,'ITEM MASTER'!$H:$H,1),1),"")</f>
        <v>0</v>
      </c>
      <c r="I73">
        <f>IF(OR(C73="PURCHASE",C73="OPENING"),G73*IF(F73="CARTON",_xlfn.XLOOKUP(D73,'ITEM MASTER'!$A:$A,'ITEM MASTER'!$H:$H,1),1),0)</f>
        <v>0</v>
      </c>
      <c r="J73">
        <f>IF(C73="SALE",G73*IF(F73="CARTON",_xlfn.XLOOKUP(D73,'ITEM MASTER'!$A:$A,'ITEM MASTER'!$H:$H,1),1),0)</f>
        <v>0</v>
      </c>
      <c r="K73">
        <f>SUMIFS($I$2:I73,$D$2:D73,D73)-SUMIFS($J$2:J73,$D$2:D73,D73)</f>
        <v>0</v>
      </c>
    </row>
    <row r="74" spans="5:11" x14ac:dyDescent="0.3">
      <c r="E74">
        <f>IFERROR(_xlfn.XLOOKUP(D74,'ITEM MASTER'!$A:$A,'ITEM MASTER'!$B:$B,""),"")</f>
        <v>0</v>
      </c>
      <c r="F74" t="s">
        <v>44</v>
      </c>
      <c r="H74">
        <f>IFERROR(_xlfn.XLOOKUP(D74,'ITEM MASTER'!$A:$A,'ITEM MASTER'!$I:$I,"")*IF(F74="CARTON",_xlfn.XLOOKUP(D74,'ITEM MASTER'!$A:$A,'ITEM MASTER'!$H:$H,1),1),"")</f>
        <v>0</v>
      </c>
      <c r="I74">
        <f>IF(OR(C74="PURCHASE",C74="OPENING"),G74*IF(F74="CARTON",_xlfn.XLOOKUP(D74,'ITEM MASTER'!$A:$A,'ITEM MASTER'!$H:$H,1),1),0)</f>
        <v>0</v>
      </c>
      <c r="J74">
        <f>IF(C74="SALE",G74*IF(F74="CARTON",_xlfn.XLOOKUP(D74,'ITEM MASTER'!$A:$A,'ITEM MASTER'!$H:$H,1),1),0)</f>
        <v>0</v>
      </c>
      <c r="K74">
        <f>SUMIFS($I$2:I74,$D$2:D74,D74)-SUMIFS($J$2:J74,$D$2:D74,D74)</f>
        <v>0</v>
      </c>
    </row>
    <row r="75" spans="5:11" x14ac:dyDescent="0.3">
      <c r="E75">
        <f>IFERROR(_xlfn.XLOOKUP(D75,'ITEM MASTER'!$A:$A,'ITEM MASTER'!$B:$B,""),"")</f>
        <v>0</v>
      </c>
      <c r="F75" t="s">
        <v>44</v>
      </c>
      <c r="H75">
        <f>IFERROR(_xlfn.XLOOKUP(D75,'ITEM MASTER'!$A:$A,'ITEM MASTER'!$I:$I,"")*IF(F75="CARTON",_xlfn.XLOOKUP(D75,'ITEM MASTER'!$A:$A,'ITEM MASTER'!$H:$H,1),1),"")</f>
        <v>0</v>
      </c>
      <c r="I75">
        <f>IF(OR(C75="PURCHASE",C75="OPENING"),G75*IF(F75="CARTON",_xlfn.XLOOKUP(D75,'ITEM MASTER'!$A:$A,'ITEM MASTER'!$H:$H,1),1),0)</f>
        <v>0</v>
      </c>
      <c r="J75">
        <f>IF(C75="SALE",G75*IF(F75="CARTON",_xlfn.XLOOKUP(D75,'ITEM MASTER'!$A:$A,'ITEM MASTER'!$H:$H,1),1),0)</f>
        <v>0</v>
      </c>
      <c r="K75">
        <f>SUMIFS($I$2:I75,$D$2:D75,D75)-SUMIFS($J$2:J75,$D$2:D75,D75)</f>
        <v>0</v>
      </c>
    </row>
    <row r="76" spans="5:11" x14ac:dyDescent="0.3">
      <c r="E76">
        <f>IFERROR(_xlfn.XLOOKUP(D76,'ITEM MASTER'!$A:$A,'ITEM MASTER'!$B:$B,""),"")</f>
        <v>0</v>
      </c>
      <c r="F76" t="s">
        <v>44</v>
      </c>
      <c r="H76">
        <f>IFERROR(_xlfn.XLOOKUP(D76,'ITEM MASTER'!$A:$A,'ITEM MASTER'!$I:$I,"")*IF(F76="CARTON",_xlfn.XLOOKUP(D76,'ITEM MASTER'!$A:$A,'ITEM MASTER'!$H:$H,1),1),"")</f>
        <v>0</v>
      </c>
      <c r="I76">
        <f>IF(OR(C76="PURCHASE",C76="OPENING"),G76*IF(F76="CARTON",_xlfn.XLOOKUP(D76,'ITEM MASTER'!$A:$A,'ITEM MASTER'!$H:$H,1),1),0)</f>
        <v>0</v>
      </c>
      <c r="J76">
        <f>IF(C76="SALE",G76*IF(F76="CARTON",_xlfn.XLOOKUP(D76,'ITEM MASTER'!$A:$A,'ITEM MASTER'!$H:$H,1),1),0)</f>
        <v>0</v>
      </c>
      <c r="K76">
        <f>SUMIFS($I$2:I76,$D$2:D76,D76)-SUMIFS($J$2:J76,$D$2:D76,D76)</f>
        <v>0</v>
      </c>
    </row>
    <row r="77" spans="5:11" x14ac:dyDescent="0.3">
      <c r="E77">
        <f>IFERROR(_xlfn.XLOOKUP(D77,'ITEM MASTER'!$A:$A,'ITEM MASTER'!$B:$B,""),"")</f>
        <v>0</v>
      </c>
      <c r="F77" t="s">
        <v>44</v>
      </c>
      <c r="H77">
        <f>IFERROR(_xlfn.XLOOKUP(D77,'ITEM MASTER'!$A:$A,'ITEM MASTER'!$I:$I,"")*IF(F77="CARTON",_xlfn.XLOOKUP(D77,'ITEM MASTER'!$A:$A,'ITEM MASTER'!$H:$H,1),1),"")</f>
        <v>0</v>
      </c>
      <c r="I77">
        <f>IF(OR(C77="PURCHASE",C77="OPENING"),G77*IF(F77="CARTON",_xlfn.XLOOKUP(D77,'ITEM MASTER'!$A:$A,'ITEM MASTER'!$H:$H,1),1),0)</f>
        <v>0</v>
      </c>
      <c r="J77">
        <f>IF(C77="SALE",G77*IF(F77="CARTON",_xlfn.XLOOKUP(D77,'ITEM MASTER'!$A:$A,'ITEM MASTER'!$H:$H,1),1),0)</f>
        <v>0</v>
      </c>
      <c r="K77">
        <f>SUMIFS($I$2:I77,$D$2:D77,D77)-SUMIFS($J$2:J77,$D$2:D77,D77)</f>
        <v>0</v>
      </c>
    </row>
    <row r="78" spans="5:11" x14ac:dyDescent="0.3">
      <c r="E78">
        <f>IFERROR(_xlfn.XLOOKUP(D78,'ITEM MASTER'!$A:$A,'ITEM MASTER'!$B:$B,""),"")</f>
        <v>0</v>
      </c>
      <c r="F78" t="s">
        <v>44</v>
      </c>
      <c r="H78">
        <f>IFERROR(_xlfn.XLOOKUP(D78,'ITEM MASTER'!$A:$A,'ITEM MASTER'!$I:$I,"")*IF(F78="CARTON",_xlfn.XLOOKUP(D78,'ITEM MASTER'!$A:$A,'ITEM MASTER'!$H:$H,1),1),"")</f>
        <v>0</v>
      </c>
      <c r="I78">
        <f>IF(OR(C78="PURCHASE",C78="OPENING"),G78*IF(F78="CARTON",_xlfn.XLOOKUP(D78,'ITEM MASTER'!$A:$A,'ITEM MASTER'!$H:$H,1),1),0)</f>
        <v>0</v>
      </c>
      <c r="J78">
        <f>IF(C78="SALE",G78*IF(F78="CARTON",_xlfn.XLOOKUP(D78,'ITEM MASTER'!$A:$A,'ITEM MASTER'!$H:$H,1),1),0)</f>
        <v>0</v>
      </c>
      <c r="K78">
        <f>SUMIFS($I$2:I78,$D$2:D78,D78)-SUMIFS($J$2:J78,$D$2:D78,D78)</f>
        <v>0</v>
      </c>
    </row>
    <row r="79" spans="5:11" x14ac:dyDescent="0.3">
      <c r="E79">
        <f>IFERROR(_xlfn.XLOOKUP(D79,'ITEM MASTER'!$A:$A,'ITEM MASTER'!$B:$B,""),"")</f>
        <v>0</v>
      </c>
      <c r="F79" t="s">
        <v>44</v>
      </c>
      <c r="H79">
        <f>IFERROR(_xlfn.XLOOKUP(D79,'ITEM MASTER'!$A:$A,'ITEM MASTER'!$I:$I,"")*IF(F79="CARTON",_xlfn.XLOOKUP(D79,'ITEM MASTER'!$A:$A,'ITEM MASTER'!$H:$H,1),1),"")</f>
        <v>0</v>
      </c>
      <c r="I79">
        <f>IF(OR(C79="PURCHASE",C79="OPENING"),G79*IF(F79="CARTON",_xlfn.XLOOKUP(D79,'ITEM MASTER'!$A:$A,'ITEM MASTER'!$H:$H,1),1),0)</f>
        <v>0</v>
      </c>
      <c r="J79">
        <f>IF(C79="SALE",G79*IF(F79="CARTON",_xlfn.XLOOKUP(D79,'ITEM MASTER'!$A:$A,'ITEM MASTER'!$H:$H,1),1),0)</f>
        <v>0</v>
      </c>
      <c r="K79">
        <f>SUMIFS($I$2:I79,$D$2:D79,D79)-SUMIFS($J$2:J79,$D$2:D79,D79)</f>
        <v>0</v>
      </c>
    </row>
    <row r="80" spans="5:11" x14ac:dyDescent="0.3">
      <c r="E80">
        <f>IFERROR(_xlfn.XLOOKUP(D80,'ITEM MASTER'!$A:$A,'ITEM MASTER'!$B:$B,""),"")</f>
        <v>0</v>
      </c>
      <c r="F80" t="s">
        <v>44</v>
      </c>
      <c r="H80">
        <f>IFERROR(_xlfn.XLOOKUP(D80,'ITEM MASTER'!$A:$A,'ITEM MASTER'!$I:$I,"")*IF(F80="CARTON",_xlfn.XLOOKUP(D80,'ITEM MASTER'!$A:$A,'ITEM MASTER'!$H:$H,1),1),"")</f>
        <v>0</v>
      </c>
      <c r="I80">
        <f>IF(OR(C80="PURCHASE",C80="OPENING"),G80*IF(F80="CARTON",_xlfn.XLOOKUP(D80,'ITEM MASTER'!$A:$A,'ITEM MASTER'!$H:$H,1),1),0)</f>
        <v>0</v>
      </c>
      <c r="J80">
        <f>IF(C80="SALE",G80*IF(F80="CARTON",_xlfn.XLOOKUP(D80,'ITEM MASTER'!$A:$A,'ITEM MASTER'!$H:$H,1),1),0)</f>
        <v>0</v>
      </c>
      <c r="K80">
        <f>SUMIFS($I$2:I80,$D$2:D80,D80)-SUMIFS($J$2:J80,$D$2:D80,D80)</f>
        <v>0</v>
      </c>
    </row>
    <row r="81" spans="5:11" x14ac:dyDescent="0.3">
      <c r="E81">
        <f>IFERROR(_xlfn.XLOOKUP(D81,'ITEM MASTER'!$A:$A,'ITEM MASTER'!$B:$B,""),"")</f>
        <v>0</v>
      </c>
      <c r="F81" t="s">
        <v>44</v>
      </c>
      <c r="H81">
        <f>IFERROR(_xlfn.XLOOKUP(D81,'ITEM MASTER'!$A:$A,'ITEM MASTER'!$I:$I,"")*IF(F81="CARTON",_xlfn.XLOOKUP(D81,'ITEM MASTER'!$A:$A,'ITEM MASTER'!$H:$H,1),1),"")</f>
        <v>0</v>
      </c>
      <c r="I81">
        <f>IF(OR(C81="PURCHASE",C81="OPENING"),G81*IF(F81="CARTON",_xlfn.XLOOKUP(D81,'ITEM MASTER'!$A:$A,'ITEM MASTER'!$H:$H,1),1),0)</f>
        <v>0</v>
      </c>
      <c r="J81">
        <f>IF(C81="SALE",G81*IF(F81="CARTON",_xlfn.XLOOKUP(D81,'ITEM MASTER'!$A:$A,'ITEM MASTER'!$H:$H,1),1),0)</f>
        <v>0</v>
      </c>
      <c r="K81">
        <f>SUMIFS($I$2:I81,$D$2:D81,D81)-SUMIFS($J$2:J81,$D$2:D81,D81)</f>
        <v>0</v>
      </c>
    </row>
    <row r="82" spans="5:11" x14ac:dyDescent="0.3">
      <c r="E82">
        <f>IFERROR(_xlfn.XLOOKUP(D82,'ITEM MASTER'!$A:$A,'ITEM MASTER'!$B:$B,""),"")</f>
        <v>0</v>
      </c>
      <c r="F82" t="s">
        <v>44</v>
      </c>
      <c r="H82">
        <f>IFERROR(_xlfn.XLOOKUP(D82,'ITEM MASTER'!$A:$A,'ITEM MASTER'!$I:$I,"")*IF(F82="CARTON",_xlfn.XLOOKUP(D82,'ITEM MASTER'!$A:$A,'ITEM MASTER'!$H:$H,1),1),"")</f>
        <v>0</v>
      </c>
      <c r="I82">
        <f>IF(OR(C82="PURCHASE",C82="OPENING"),G82*IF(F82="CARTON",_xlfn.XLOOKUP(D82,'ITEM MASTER'!$A:$A,'ITEM MASTER'!$H:$H,1),1),0)</f>
        <v>0</v>
      </c>
      <c r="J82">
        <f>IF(C82="SALE",G82*IF(F82="CARTON",_xlfn.XLOOKUP(D82,'ITEM MASTER'!$A:$A,'ITEM MASTER'!$H:$H,1),1),0)</f>
        <v>0</v>
      </c>
      <c r="K82">
        <f>SUMIFS($I$2:I82,$D$2:D82,D82)-SUMIFS($J$2:J82,$D$2:D82,D82)</f>
        <v>0</v>
      </c>
    </row>
    <row r="83" spans="5:11" x14ac:dyDescent="0.3">
      <c r="E83">
        <f>IFERROR(_xlfn.XLOOKUP(D83,'ITEM MASTER'!$A:$A,'ITEM MASTER'!$B:$B,""),"")</f>
        <v>0</v>
      </c>
      <c r="F83" t="s">
        <v>44</v>
      </c>
      <c r="H83">
        <f>IFERROR(_xlfn.XLOOKUP(D83,'ITEM MASTER'!$A:$A,'ITEM MASTER'!$I:$I,"")*IF(F83="CARTON",_xlfn.XLOOKUP(D83,'ITEM MASTER'!$A:$A,'ITEM MASTER'!$H:$H,1),1),"")</f>
        <v>0</v>
      </c>
      <c r="I83">
        <f>IF(OR(C83="PURCHASE",C83="OPENING"),G83*IF(F83="CARTON",_xlfn.XLOOKUP(D83,'ITEM MASTER'!$A:$A,'ITEM MASTER'!$H:$H,1),1),0)</f>
        <v>0</v>
      </c>
      <c r="J83">
        <f>IF(C83="SALE",G83*IF(F83="CARTON",_xlfn.XLOOKUP(D83,'ITEM MASTER'!$A:$A,'ITEM MASTER'!$H:$H,1),1),0)</f>
        <v>0</v>
      </c>
      <c r="K83">
        <f>SUMIFS($I$2:I83,$D$2:D83,D83)-SUMIFS($J$2:J83,$D$2:D83,D83)</f>
        <v>0</v>
      </c>
    </row>
    <row r="84" spans="5:11" x14ac:dyDescent="0.3">
      <c r="E84">
        <f>IFERROR(_xlfn.XLOOKUP(D84,'ITEM MASTER'!$A:$A,'ITEM MASTER'!$B:$B,""),"")</f>
        <v>0</v>
      </c>
      <c r="F84" t="s">
        <v>44</v>
      </c>
      <c r="H84">
        <f>IFERROR(_xlfn.XLOOKUP(D84,'ITEM MASTER'!$A:$A,'ITEM MASTER'!$I:$I,"")*IF(F84="CARTON",_xlfn.XLOOKUP(D84,'ITEM MASTER'!$A:$A,'ITEM MASTER'!$H:$H,1),1),"")</f>
        <v>0</v>
      </c>
      <c r="I84">
        <f>IF(OR(C84="PURCHASE",C84="OPENING"),G84*IF(F84="CARTON",_xlfn.XLOOKUP(D84,'ITEM MASTER'!$A:$A,'ITEM MASTER'!$H:$H,1),1),0)</f>
        <v>0</v>
      </c>
      <c r="J84">
        <f>IF(C84="SALE",G84*IF(F84="CARTON",_xlfn.XLOOKUP(D84,'ITEM MASTER'!$A:$A,'ITEM MASTER'!$H:$H,1),1),0)</f>
        <v>0</v>
      </c>
      <c r="K84">
        <f>SUMIFS($I$2:I84,$D$2:D84,D84)-SUMIFS($J$2:J84,$D$2:D84,D84)</f>
        <v>0</v>
      </c>
    </row>
    <row r="85" spans="5:11" x14ac:dyDescent="0.3">
      <c r="E85">
        <f>IFERROR(_xlfn.XLOOKUP(D85,'ITEM MASTER'!$A:$A,'ITEM MASTER'!$B:$B,""),"")</f>
        <v>0</v>
      </c>
      <c r="F85" t="s">
        <v>44</v>
      </c>
      <c r="H85">
        <f>IFERROR(_xlfn.XLOOKUP(D85,'ITEM MASTER'!$A:$A,'ITEM MASTER'!$I:$I,"")*IF(F85="CARTON",_xlfn.XLOOKUP(D85,'ITEM MASTER'!$A:$A,'ITEM MASTER'!$H:$H,1),1),"")</f>
        <v>0</v>
      </c>
      <c r="I85">
        <f>IF(OR(C85="PURCHASE",C85="OPENING"),G85*IF(F85="CARTON",_xlfn.XLOOKUP(D85,'ITEM MASTER'!$A:$A,'ITEM MASTER'!$H:$H,1),1),0)</f>
        <v>0</v>
      </c>
      <c r="J85">
        <f>IF(C85="SALE",G85*IF(F85="CARTON",_xlfn.XLOOKUP(D85,'ITEM MASTER'!$A:$A,'ITEM MASTER'!$H:$H,1),1),0)</f>
        <v>0</v>
      </c>
      <c r="K85">
        <f>SUMIFS($I$2:I85,$D$2:D85,D85)-SUMIFS($J$2:J85,$D$2:D85,D85)</f>
        <v>0</v>
      </c>
    </row>
    <row r="86" spans="5:11" x14ac:dyDescent="0.3">
      <c r="E86">
        <f>IFERROR(_xlfn.XLOOKUP(D86,'ITEM MASTER'!$A:$A,'ITEM MASTER'!$B:$B,""),"")</f>
        <v>0</v>
      </c>
      <c r="F86" t="s">
        <v>44</v>
      </c>
      <c r="H86">
        <f>IFERROR(_xlfn.XLOOKUP(D86,'ITEM MASTER'!$A:$A,'ITEM MASTER'!$I:$I,"")*IF(F86="CARTON",_xlfn.XLOOKUP(D86,'ITEM MASTER'!$A:$A,'ITEM MASTER'!$H:$H,1),1),"")</f>
        <v>0</v>
      </c>
      <c r="I86">
        <f>IF(OR(C86="PURCHASE",C86="OPENING"),G86*IF(F86="CARTON",_xlfn.XLOOKUP(D86,'ITEM MASTER'!$A:$A,'ITEM MASTER'!$H:$H,1),1),0)</f>
        <v>0</v>
      </c>
      <c r="J86">
        <f>IF(C86="SALE",G86*IF(F86="CARTON",_xlfn.XLOOKUP(D86,'ITEM MASTER'!$A:$A,'ITEM MASTER'!$H:$H,1),1),0)</f>
        <v>0</v>
      </c>
      <c r="K86">
        <f>SUMIFS($I$2:I86,$D$2:D86,D86)-SUMIFS($J$2:J86,$D$2:D86,D86)</f>
        <v>0</v>
      </c>
    </row>
    <row r="87" spans="5:11" x14ac:dyDescent="0.3">
      <c r="E87">
        <f>IFERROR(_xlfn.XLOOKUP(D87,'ITEM MASTER'!$A:$A,'ITEM MASTER'!$B:$B,""),"")</f>
        <v>0</v>
      </c>
      <c r="F87" t="s">
        <v>44</v>
      </c>
      <c r="H87">
        <f>IFERROR(_xlfn.XLOOKUP(D87,'ITEM MASTER'!$A:$A,'ITEM MASTER'!$I:$I,"")*IF(F87="CARTON",_xlfn.XLOOKUP(D87,'ITEM MASTER'!$A:$A,'ITEM MASTER'!$H:$H,1),1),"")</f>
        <v>0</v>
      </c>
      <c r="I87">
        <f>IF(OR(C87="PURCHASE",C87="OPENING"),G87*IF(F87="CARTON",_xlfn.XLOOKUP(D87,'ITEM MASTER'!$A:$A,'ITEM MASTER'!$H:$H,1),1),0)</f>
        <v>0</v>
      </c>
      <c r="J87">
        <f>IF(C87="SALE",G87*IF(F87="CARTON",_xlfn.XLOOKUP(D87,'ITEM MASTER'!$A:$A,'ITEM MASTER'!$H:$H,1),1),0)</f>
        <v>0</v>
      </c>
      <c r="K87">
        <f>SUMIFS($I$2:I87,$D$2:D87,D87)-SUMIFS($J$2:J87,$D$2:D87,D87)</f>
        <v>0</v>
      </c>
    </row>
    <row r="88" spans="5:11" x14ac:dyDescent="0.3">
      <c r="E88">
        <f>IFERROR(_xlfn.XLOOKUP(D88,'ITEM MASTER'!$A:$A,'ITEM MASTER'!$B:$B,""),"")</f>
        <v>0</v>
      </c>
      <c r="F88" t="s">
        <v>44</v>
      </c>
      <c r="H88">
        <f>IFERROR(_xlfn.XLOOKUP(D88,'ITEM MASTER'!$A:$A,'ITEM MASTER'!$I:$I,"")*IF(F88="CARTON",_xlfn.XLOOKUP(D88,'ITEM MASTER'!$A:$A,'ITEM MASTER'!$H:$H,1),1),"")</f>
        <v>0</v>
      </c>
      <c r="I88">
        <f>IF(OR(C88="PURCHASE",C88="OPENING"),G88*IF(F88="CARTON",_xlfn.XLOOKUP(D88,'ITEM MASTER'!$A:$A,'ITEM MASTER'!$H:$H,1),1),0)</f>
        <v>0</v>
      </c>
      <c r="J88">
        <f>IF(C88="SALE",G88*IF(F88="CARTON",_xlfn.XLOOKUP(D88,'ITEM MASTER'!$A:$A,'ITEM MASTER'!$H:$H,1),1),0)</f>
        <v>0</v>
      </c>
      <c r="K88">
        <f>SUMIFS($I$2:I88,$D$2:D88,D88)-SUMIFS($J$2:J88,$D$2:D88,D88)</f>
        <v>0</v>
      </c>
    </row>
    <row r="89" spans="5:11" x14ac:dyDescent="0.3">
      <c r="E89">
        <f>IFERROR(_xlfn.XLOOKUP(D89,'ITEM MASTER'!$A:$A,'ITEM MASTER'!$B:$B,""),"")</f>
        <v>0</v>
      </c>
      <c r="F89" t="s">
        <v>44</v>
      </c>
      <c r="H89">
        <f>IFERROR(_xlfn.XLOOKUP(D89,'ITEM MASTER'!$A:$A,'ITEM MASTER'!$I:$I,"")*IF(F89="CARTON",_xlfn.XLOOKUP(D89,'ITEM MASTER'!$A:$A,'ITEM MASTER'!$H:$H,1),1),"")</f>
        <v>0</v>
      </c>
      <c r="I89">
        <f>IF(OR(C89="PURCHASE",C89="OPENING"),G89*IF(F89="CARTON",_xlfn.XLOOKUP(D89,'ITEM MASTER'!$A:$A,'ITEM MASTER'!$H:$H,1),1),0)</f>
        <v>0</v>
      </c>
      <c r="J89">
        <f>IF(C89="SALE",G89*IF(F89="CARTON",_xlfn.XLOOKUP(D89,'ITEM MASTER'!$A:$A,'ITEM MASTER'!$H:$H,1),1),0)</f>
        <v>0</v>
      </c>
      <c r="K89">
        <f>SUMIFS($I$2:I89,$D$2:D89,D89)-SUMIFS($J$2:J89,$D$2:D89,D89)</f>
        <v>0</v>
      </c>
    </row>
    <row r="90" spans="5:11" x14ac:dyDescent="0.3">
      <c r="E90">
        <f>IFERROR(_xlfn.XLOOKUP(D90,'ITEM MASTER'!$A:$A,'ITEM MASTER'!$B:$B,""),"")</f>
        <v>0</v>
      </c>
      <c r="F90" t="s">
        <v>44</v>
      </c>
      <c r="H90">
        <f>IFERROR(_xlfn.XLOOKUP(D90,'ITEM MASTER'!$A:$A,'ITEM MASTER'!$I:$I,"")*IF(F90="CARTON",_xlfn.XLOOKUP(D90,'ITEM MASTER'!$A:$A,'ITEM MASTER'!$H:$H,1),1),"")</f>
        <v>0</v>
      </c>
      <c r="I90">
        <f>IF(OR(C90="PURCHASE",C90="OPENING"),G90*IF(F90="CARTON",_xlfn.XLOOKUP(D90,'ITEM MASTER'!$A:$A,'ITEM MASTER'!$H:$H,1),1),0)</f>
        <v>0</v>
      </c>
      <c r="J90">
        <f>IF(C90="SALE",G90*IF(F90="CARTON",_xlfn.XLOOKUP(D90,'ITEM MASTER'!$A:$A,'ITEM MASTER'!$H:$H,1),1),0)</f>
        <v>0</v>
      </c>
      <c r="K90">
        <f>SUMIFS($I$2:I90,$D$2:D90,D90)-SUMIFS($J$2:J90,$D$2:D90,D90)</f>
        <v>0</v>
      </c>
    </row>
    <row r="91" spans="5:11" x14ac:dyDescent="0.3">
      <c r="E91">
        <f>IFERROR(_xlfn.XLOOKUP(D91,'ITEM MASTER'!$A:$A,'ITEM MASTER'!$B:$B,""),"")</f>
        <v>0</v>
      </c>
      <c r="F91" t="s">
        <v>44</v>
      </c>
      <c r="H91">
        <f>IFERROR(_xlfn.XLOOKUP(D91,'ITEM MASTER'!$A:$A,'ITEM MASTER'!$I:$I,"")*IF(F91="CARTON",_xlfn.XLOOKUP(D91,'ITEM MASTER'!$A:$A,'ITEM MASTER'!$H:$H,1),1),"")</f>
        <v>0</v>
      </c>
      <c r="I91">
        <f>IF(OR(C91="PURCHASE",C91="OPENING"),G91*IF(F91="CARTON",_xlfn.XLOOKUP(D91,'ITEM MASTER'!$A:$A,'ITEM MASTER'!$H:$H,1),1),0)</f>
        <v>0</v>
      </c>
      <c r="J91">
        <f>IF(C91="SALE",G91*IF(F91="CARTON",_xlfn.XLOOKUP(D91,'ITEM MASTER'!$A:$A,'ITEM MASTER'!$H:$H,1),1),0)</f>
        <v>0</v>
      </c>
      <c r="K91">
        <f>SUMIFS($I$2:I91,$D$2:D91,D91)-SUMIFS($J$2:J91,$D$2:D91,D91)</f>
        <v>0</v>
      </c>
    </row>
    <row r="92" spans="5:11" x14ac:dyDescent="0.3">
      <c r="E92">
        <f>IFERROR(_xlfn.XLOOKUP(D92,'ITEM MASTER'!$A:$A,'ITEM MASTER'!$B:$B,""),"")</f>
        <v>0</v>
      </c>
      <c r="F92" t="s">
        <v>44</v>
      </c>
      <c r="H92">
        <f>IFERROR(_xlfn.XLOOKUP(D92,'ITEM MASTER'!$A:$A,'ITEM MASTER'!$I:$I,"")*IF(F92="CARTON",_xlfn.XLOOKUP(D92,'ITEM MASTER'!$A:$A,'ITEM MASTER'!$H:$H,1),1),"")</f>
        <v>0</v>
      </c>
      <c r="I92">
        <f>IF(OR(C92="PURCHASE",C92="OPENING"),G92*IF(F92="CARTON",_xlfn.XLOOKUP(D92,'ITEM MASTER'!$A:$A,'ITEM MASTER'!$H:$H,1),1),0)</f>
        <v>0</v>
      </c>
      <c r="J92">
        <f>IF(C92="SALE",G92*IF(F92="CARTON",_xlfn.XLOOKUP(D92,'ITEM MASTER'!$A:$A,'ITEM MASTER'!$H:$H,1),1),0)</f>
        <v>0</v>
      </c>
      <c r="K92">
        <f>SUMIFS($I$2:I92,$D$2:D92,D92)-SUMIFS($J$2:J92,$D$2:D92,D92)</f>
        <v>0</v>
      </c>
    </row>
    <row r="93" spans="5:11" x14ac:dyDescent="0.3">
      <c r="E93">
        <f>IFERROR(_xlfn.XLOOKUP(D93,'ITEM MASTER'!$A:$A,'ITEM MASTER'!$B:$B,""),"")</f>
        <v>0</v>
      </c>
      <c r="F93" t="s">
        <v>44</v>
      </c>
      <c r="H93">
        <f>IFERROR(_xlfn.XLOOKUP(D93,'ITEM MASTER'!$A:$A,'ITEM MASTER'!$I:$I,"")*IF(F93="CARTON",_xlfn.XLOOKUP(D93,'ITEM MASTER'!$A:$A,'ITEM MASTER'!$H:$H,1),1),"")</f>
        <v>0</v>
      </c>
      <c r="I93">
        <f>IF(OR(C93="PURCHASE",C93="OPENING"),G93*IF(F93="CARTON",_xlfn.XLOOKUP(D93,'ITEM MASTER'!$A:$A,'ITEM MASTER'!$H:$H,1),1),0)</f>
        <v>0</v>
      </c>
      <c r="J93">
        <f>IF(C93="SALE",G93*IF(F93="CARTON",_xlfn.XLOOKUP(D93,'ITEM MASTER'!$A:$A,'ITEM MASTER'!$H:$H,1),1),0)</f>
        <v>0</v>
      </c>
      <c r="K93">
        <f>SUMIFS($I$2:I93,$D$2:D93,D93)-SUMIFS($J$2:J93,$D$2:D93,D93)</f>
        <v>0</v>
      </c>
    </row>
    <row r="94" spans="5:11" x14ac:dyDescent="0.3">
      <c r="E94">
        <f>IFERROR(_xlfn.XLOOKUP(D94,'ITEM MASTER'!$A:$A,'ITEM MASTER'!$B:$B,""),"")</f>
        <v>0</v>
      </c>
      <c r="F94" t="s">
        <v>44</v>
      </c>
      <c r="H94">
        <f>IFERROR(_xlfn.XLOOKUP(D94,'ITEM MASTER'!$A:$A,'ITEM MASTER'!$I:$I,"")*IF(F94="CARTON",_xlfn.XLOOKUP(D94,'ITEM MASTER'!$A:$A,'ITEM MASTER'!$H:$H,1),1),"")</f>
        <v>0</v>
      </c>
      <c r="I94">
        <f>IF(OR(C94="PURCHASE",C94="OPENING"),G94*IF(F94="CARTON",_xlfn.XLOOKUP(D94,'ITEM MASTER'!$A:$A,'ITEM MASTER'!$H:$H,1),1),0)</f>
        <v>0</v>
      </c>
      <c r="J94">
        <f>IF(C94="SALE",G94*IF(F94="CARTON",_xlfn.XLOOKUP(D94,'ITEM MASTER'!$A:$A,'ITEM MASTER'!$H:$H,1),1),0)</f>
        <v>0</v>
      </c>
      <c r="K94">
        <f>SUMIFS($I$2:I94,$D$2:D94,D94)-SUMIFS($J$2:J94,$D$2:D94,D94)</f>
        <v>0</v>
      </c>
    </row>
    <row r="95" spans="5:11" x14ac:dyDescent="0.3">
      <c r="E95">
        <f>IFERROR(_xlfn.XLOOKUP(D95,'ITEM MASTER'!$A:$A,'ITEM MASTER'!$B:$B,""),"")</f>
        <v>0</v>
      </c>
      <c r="F95" t="s">
        <v>44</v>
      </c>
      <c r="H95">
        <f>IFERROR(_xlfn.XLOOKUP(D95,'ITEM MASTER'!$A:$A,'ITEM MASTER'!$I:$I,"")*IF(F95="CARTON",_xlfn.XLOOKUP(D95,'ITEM MASTER'!$A:$A,'ITEM MASTER'!$H:$H,1),1),"")</f>
        <v>0</v>
      </c>
      <c r="I95">
        <f>IF(OR(C95="PURCHASE",C95="OPENING"),G95*IF(F95="CARTON",_xlfn.XLOOKUP(D95,'ITEM MASTER'!$A:$A,'ITEM MASTER'!$H:$H,1),1),0)</f>
        <v>0</v>
      </c>
      <c r="J95">
        <f>IF(C95="SALE",G95*IF(F95="CARTON",_xlfn.XLOOKUP(D95,'ITEM MASTER'!$A:$A,'ITEM MASTER'!$H:$H,1),1),0)</f>
        <v>0</v>
      </c>
      <c r="K95">
        <f>SUMIFS($I$2:I95,$D$2:D95,D95)-SUMIFS($J$2:J95,$D$2:D95,D95)</f>
        <v>0</v>
      </c>
    </row>
    <row r="96" spans="5:11" x14ac:dyDescent="0.3">
      <c r="E96">
        <f>IFERROR(_xlfn.XLOOKUP(D96,'ITEM MASTER'!$A:$A,'ITEM MASTER'!$B:$B,""),"")</f>
        <v>0</v>
      </c>
      <c r="F96" t="s">
        <v>44</v>
      </c>
      <c r="H96">
        <f>IFERROR(_xlfn.XLOOKUP(D96,'ITEM MASTER'!$A:$A,'ITEM MASTER'!$I:$I,"")*IF(F96="CARTON",_xlfn.XLOOKUP(D96,'ITEM MASTER'!$A:$A,'ITEM MASTER'!$H:$H,1),1),"")</f>
        <v>0</v>
      </c>
      <c r="I96">
        <f>IF(OR(C96="PURCHASE",C96="OPENING"),G96*IF(F96="CARTON",_xlfn.XLOOKUP(D96,'ITEM MASTER'!$A:$A,'ITEM MASTER'!$H:$H,1),1),0)</f>
        <v>0</v>
      </c>
      <c r="J96">
        <f>IF(C96="SALE",G96*IF(F96="CARTON",_xlfn.XLOOKUP(D96,'ITEM MASTER'!$A:$A,'ITEM MASTER'!$H:$H,1),1),0)</f>
        <v>0</v>
      </c>
      <c r="K96">
        <f>SUMIFS($I$2:I96,$D$2:D96,D96)-SUMIFS($J$2:J96,$D$2:D96,D96)</f>
        <v>0</v>
      </c>
    </row>
    <row r="97" spans="5:11" x14ac:dyDescent="0.3">
      <c r="E97">
        <f>IFERROR(_xlfn.XLOOKUP(D97,'ITEM MASTER'!$A:$A,'ITEM MASTER'!$B:$B,""),"")</f>
        <v>0</v>
      </c>
      <c r="F97" t="s">
        <v>44</v>
      </c>
      <c r="H97">
        <f>IFERROR(_xlfn.XLOOKUP(D97,'ITEM MASTER'!$A:$A,'ITEM MASTER'!$I:$I,"")*IF(F97="CARTON",_xlfn.XLOOKUP(D97,'ITEM MASTER'!$A:$A,'ITEM MASTER'!$H:$H,1),1),"")</f>
        <v>0</v>
      </c>
      <c r="I97">
        <f>IF(OR(C97="PURCHASE",C97="OPENING"),G97*IF(F97="CARTON",_xlfn.XLOOKUP(D97,'ITEM MASTER'!$A:$A,'ITEM MASTER'!$H:$H,1),1),0)</f>
        <v>0</v>
      </c>
      <c r="J97">
        <f>IF(C97="SALE",G97*IF(F97="CARTON",_xlfn.XLOOKUP(D97,'ITEM MASTER'!$A:$A,'ITEM MASTER'!$H:$H,1),1),0)</f>
        <v>0</v>
      </c>
      <c r="K97">
        <f>SUMIFS($I$2:I97,$D$2:D97,D97)-SUMIFS($J$2:J97,$D$2:D97,D97)</f>
        <v>0</v>
      </c>
    </row>
    <row r="98" spans="5:11" x14ac:dyDescent="0.3">
      <c r="E98">
        <f>IFERROR(_xlfn.XLOOKUP(D98,'ITEM MASTER'!$A:$A,'ITEM MASTER'!$B:$B,""),"")</f>
        <v>0</v>
      </c>
      <c r="F98" t="s">
        <v>44</v>
      </c>
      <c r="H98">
        <f>IFERROR(_xlfn.XLOOKUP(D98,'ITEM MASTER'!$A:$A,'ITEM MASTER'!$I:$I,"")*IF(F98="CARTON",_xlfn.XLOOKUP(D98,'ITEM MASTER'!$A:$A,'ITEM MASTER'!$H:$H,1),1),"")</f>
        <v>0</v>
      </c>
      <c r="I98">
        <f>IF(OR(C98="PURCHASE",C98="OPENING"),G98*IF(F98="CARTON",_xlfn.XLOOKUP(D98,'ITEM MASTER'!$A:$A,'ITEM MASTER'!$H:$H,1),1),0)</f>
        <v>0</v>
      </c>
      <c r="J98">
        <f>IF(C98="SALE",G98*IF(F98="CARTON",_xlfn.XLOOKUP(D98,'ITEM MASTER'!$A:$A,'ITEM MASTER'!$H:$H,1),1),0)</f>
        <v>0</v>
      </c>
      <c r="K98">
        <f>SUMIFS($I$2:I98,$D$2:D98,D98)-SUMIFS($J$2:J98,$D$2:D98,D98)</f>
        <v>0</v>
      </c>
    </row>
    <row r="99" spans="5:11" x14ac:dyDescent="0.3">
      <c r="E99">
        <f>IFERROR(_xlfn.XLOOKUP(D99,'ITEM MASTER'!$A:$A,'ITEM MASTER'!$B:$B,""),"")</f>
        <v>0</v>
      </c>
      <c r="F99" t="s">
        <v>44</v>
      </c>
      <c r="H99">
        <f>IFERROR(_xlfn.XLOOKUP(D99,'ITEM MASTER'!$A:$A,'ITEM MASTER'!$I:$I,"")*IF(F99="CARTON",_xlfn.XLOOKUP(D99,'ITEM MASTER'!$A:$A,'ITEM MASTER'!$H:$H,1),1),"")</f>
        <v>0</v>
      </c>
      <c r="I99">
        <f>IF(OR(C99="PURCHASE",C99="OPENING"),G99*IF(F99="CARTON",_xlfn.XLOOKUP(D99,'ITEM MASTER'!$A:$A,'ITEM MASTER'!$H:$H,1),1),0)</f>
        <v>0</v>
      </c>
      <c r="J99">
        <f>IF(C99="SALE",G99*IF(F99="CARTON",_xlfn.XLOOKUP(D99,'ITEM MASTER'!$A:$A,'ITEM MASTER'!$H:$H,1),1),0)</f>
        <v>0</v>
      </c>
      <c r="K99">
        <f>SUMIFS($I$2:I99,$D$2:D99,D99)-SUMIFS($J$2:J99,$D$2:D99,D99)</f>
        <v>0</v>
      </c>
    </row>
    <row r="100" spans="5:11" x14ac:dyDescent="0.3">
      <c r="E100">
        <f>IFERROR(_xlfn.XLOOKUP(D100,'ITEM MASTER'!$A:$A,'ITEM MASTER'!$B:$B,""),"")</f>
        <v>0</v>
      </c>
      <c r="F100" t="s">
        <v>44</v>
      </c>
      <c r="H100">
        <f>IFERROR(_xlfn.XLOOKUP(D100,'ITEM MASTER'!$A:$A,'ITEM MASTER'!$I:$I,"")*IF(F100="CARTON",_xlfn.XLOOKUP(D100,'ITEM MASTER'!$A:$A,'ITEM MASTER'!$H:$H,1),1),"")</f>
        <v>0</v>
      </c>
      <c r="I100">
        <f>IF(OR(C100="PURCHASE",C100="OPENING"),G100*IF(F100="CARTON",_xlfn.XLOOKUP(D100,'ITEM MASTER'!$A:$A,'ITEM MASTER'!$H:$H,1),1),0)</f>
        <v>0</v>
      </c>
      <c r="J100">
        <f>IF(C100="SALE",G100*IF(F100="CARTON",_xlfn.XLOOKUP(D100,'ITEM MASTER'!$A:$A,'ITEM MASTER'!$H:$H,1),1),0)</f>
        <v>0</v>
      </c>
      <c r="K100">
        <f>SUMIFS($I$2:I100,$D$2:D100,D100)-SUMIFS($J$2:J100,$D$2:D100,D100)</f>
        <v>0</v>
      </c>
    </row>
    <row r="101" spans="5:11" x14ac:dyDescent="0.3">
      <c r="E101">
        <f>IFERROR(_xlfn.XLOOKUP(D101,'ITEM MASTER'!$A:$A,'ITEM MASTER'!$B:$B,""),"")</f>
        <v>0</v>
      </c>
      <c r="F101" t="s">
        <v>44</v>
      </c>
      <c r="H101">
        <f>IFERROR(_xlfn.XLOOKUP(D101,'ITEM MASTER'!$A:$A,'ITEM MASTER'!$I:$I,"")*IF(F101="CARTON",_xlfn.XLOOKUP(D101,'ITEM MASTER'!$A:$A,'ITEM MASTER'!$H:$H,1),1),"")</f>
        <v>0</v>
      </c>
      <c r="I101">
        <f>IF(OR(C101="PURCHASE",C101="OPENING"),G101*IF(F101="CARTON",_xlfn.XLOOKUP(D101,'ITEM MASTER'!$A:$A,'ITEM MASTER'!$H:$H,1),1),0)</f>
        <v>0</v>
      </c>
      <c r="J101">
        <f>IF(C101="SALE",G101*IF(F101="CARTON",_xlfn.XLOOKUP(D101,'ITEM MASTER'!$A:$A,'ITEM MASTER'!$H:$H,1),1),0)</f>
        <v>0</v>
      </c>
      <c r="K101">
        <f>SUMIFS($I$2:I101,$D$2:D101,D101)-SUMIFS($J$2:J101,$D$2:D101,D101)</f>
        <v>0</v>
      </c>
    </row>
    <row r="102" spans="5:11" x14ac:dyDescent="0.3">
      <c r="E102">
        <f>IFERROR(_xlfn.XLOOKUP(D102,'ITEM MASTER'!$A:$A,'ITEM MASTER'!$B:$B,""),"")</f>
        <v>0</v>
      </c>
      <c r="F102" t="s">
        <v>44</v>
      </c>
      <c r="H102">
        <f>IFERROR(_xlfn.XLOOKUP(D102,'ITEM MASTER'!$A:$A,'ITEM MASTER'!$I:$I,"")*IF(F102="CARTON",_xlfn.XLOOKUP(D102,'ITEM MASTER'!$A:$A,'ITEM MASTER'!$H:$H,1),1),"")</f>
        <v>0</v>
      </c>
      <c r="I102">
        <f>IF(OR(C102="PURCHASE",C102="OPENING"),G102*IF(F102="CARTON",_xlfn.XLOOKUP(D102,'ITEM MASTER'!$A:$A,'ITEM MASTER'!$H:$H,1),1),0)</f>
        <v>0</v>
      </c>
      <c r="J102">
        <f>IF(C102="SALE",G102*IF(F102="CARTON",_xlfn.XLOOKUP(D102,'ITEM MASTER'!$A:$A,'ITEM MASTER'!$H:$H,1),1),0)</f>
        <v>0</v>
      </c>
      <c r="K102">
        <f>SUMIFS($I$2:I102,$D$2:D102,D102)-SUMIFS($J$2:J102,$D$2:D102,D102)</f>
        <v>0</v>
      </c>
    </row>
    <row r="103" spans="5:11" x14ac:dyDescent="0.3">
      <c r="E103">
        <f>IFERROR(_xlfn.XLOOKUP(D103,'ITEM MASTER'!$A:$A,'ITEM MASTER'!$B:$B,""),"")</f>
        <v>0</v>
      </c>
      <c r="F103" t="s">
        <v>44</v>
      </c>
      <c r="H103">
        <f>IFERROR(_xlfn.XLOOKUP(D103,'ITEM MASTER'!$A:$A,'ITEM MASTER'!$I:$I,"")*IF(F103="CARTON",_xlfn.XLOOKUP(D103,'ITEM MASTER'!$A:$A,'ITEM MASTER'!$H:$H,1),1),"")</f>
        <v>0</v>
      </c>
      <c r="I103">
        <f>IF(OR(C103="PURCHASE",C103="OPENING"),G103*IF(F103="CARTON",_xlfn.XLOOKUP(D103,'ITEM MASTER'!$A:$A,'ITEM MASTER'!$H:$H,1),1),0)</f>
        <v>0</v>
      </c>
      <c r="J103">
        <f>IF(C103="SALE",G103*IF(F103="CARTON",_xlfn.XLOOKUP(D103,'ITEM MASTER'!$A:$A,'ITEM MASTER'!$H:$H,1),1),0)</f>
        <v>0</v>
      </c>
      <c r="K103">
        <f>SUMIFS($I$2:I103,$D$2:D103,D103)-SUMIFS($J$2:J103,$D$2:D103,D103)</f>
        <v>0</v>
      </c>
    </row>
    <row r="104" spans="5:11" x14ac:dyDescent="0.3">
      <c r="E104">
        <f>IFERROR(_xlfn.XLOOKUP(D104,'ITEM MASTER'!$A:$A,'ITEM MASTER'!$B:$B,""),"")</f>
        <v>0</v>
      </c>
      <c r="F104" t="s">
        <v>44</v>
      </c>
      <c r="H104">
        <f>IFERROR(_xlfn.XLOOKUP(D104,'ITEM MASTER'!$A:$A,'ITEM MASTER'!$I:$I,"")*IF(F104="CARTON",_xlfn.XLOOKUP(D104,'ITEM MASTER'!$A:$A,'ITEM MASTER'!$H:$H,1),1),"")</f>
        <v>0</v>
      </c>
      <c r="I104">
        <f>IF(OR(C104="PURCHASE",C104="OPENING"),G104*IF(F104="CARTON",_xlfn.XLOOKUP(D104,'ITEM MASTER'!$A:$A,'ITEM MASTER'!$H:$H,1),1),0)</f>
        <v>0</v>
      </c>
      <c r="J104">
        <f>IF(C104="SALE",G104*IF(F104="CARTON",_xlfn.XLOOKUP(D104,'ITEM MASTER'!$A:$A,'ITEM MASTER'!$H:$H,1),1),0)</f>
        <v>0</v>
      </c>
      <c r="K104">
        <f>SUMIFS($I$2:I104,$D$2:D104,D104)-SUMIFS($J$2:J104,$D$2:D104,D104)</f>
        <v>0</v>
      </c>
    </row>
    <row r="105" spans="5:11" x14ac:dyDescent="0.3">
      <c r="E105">
        <f>IFERROR(_xlfn.XLOOKUP(D105,'ITEM MASTER'!$A:$A,'ITEM MASTER'!$B:$B,""),"")</f>
        <v>0</v>
      </c>
      <c r="F105" t="s">
        <v>44</v>
      </c>
      <c r="H105">
        <f>IFERROR(_xlfn.XLOOKUP(D105,'ITEM MASTER'!$A:$A,'ITEM MASTER'!$I:$I,"")*IF(F105="CARTON",_xlfn.XLOOKUP(D105,'ITEM MASTER'!$A:$A,'ITEM MASTER'!$H:$H,1),1),"")</f>
        <v>0</v>
      </c>
      <c r="I105">
        <f>IF(OR(C105="PURCHASE",C105="OPENING"),G105*IF(F105="CARTON",_xlfn.XLOOKUP(D105,'ITEM MASTER'!$A:$A,'ITEM MASTER'!$H:$H,1),1),0)</f>
        <v>0</v>
      </c>
      <c r="J105">
        <f>IF(C105="SALE",G105*IF(F105="CARTON",_xlfn.XLOOKUP(D105,'ITEM MASTER'!$A:$A,'ITEM MASTER'!$H:$H,1),1),0)</f>
        <v>0</v>
      </c>
      <c r="K105">
        <f>SUMIFS($I$2:I105,$D$2:D105,D105)-SUMIFS($J$2:J105,$D$2:D105,D105)</f>
        <v>0</v>
      </c>
    </row>
    <row r="106" spans="5:11" x14ac:dyDescent="0.3">
      <c r="E106">
        <f>IFERROR(_xlfn.XLOOKUP(D106,'ITEM MASTER'!$A:$A,'ITEM MASTER'!$B:$B,""),"")</f>
        <v>0</v>
      </c>
      <c r="F106" t="s">
        <v>44</v>
      </c>
      <c r="H106">
        <f>IFERROR(_xlfn.XLOOKUP(D106,'ITEM MASTER'!$A:$A,'ITEM MASTER'!$I:$I,"")*IF(F106="CARTON",_xlfn.XLOOKUP(D106,'ITEM MASTER'!$A:$A,'ITEM MASTER'!$H:$H,1),1),"")</f>
        <v>0</v>
      </c>
      <c r="I106">
        <f>IF(OR(C106="PURCHASE",C106="OPENING"),G106*IF(F106="CARTON",_xlfn.XLOOKUP(D106,'ITEM MASTER'!$A:$A,'ITEM MASTER'!$H:$H,1),1),0)</f>
        <v>0</v>
      </c>
      <c r="J106">
        <f>IF(C106="SALE",G106*IF(F106="CARTON",_xlfn.XLOOKUP(D106,'ITEM MASTER'!$A:$A,'ITEM MASTER'!$H:$H,1),1),0)</f>
        <v>0</v>
      </c>
      <c r="K106">
        <f>SUMIFS($I$2:I106,$D$2:D106,D106)-SUMIFS($J$2:J106,$D$2:D106,D106)</f>
        <v>0</v>
      </c>
    </row>
    <row r="107" spans="5:11" x14ac:dyDescent="0.3">
      <c r="E107">
        <f>IFERROR(_xlfn.XLOOKUP(D107,'ITEM MASTER'!$A:$A,'ITEM MASTER'!$B:$B,""),"")</f>
        <v>0</v>
      </c>
      <c r="F107" t="s">
        <v>44</v>
      </c>
      <c r="H107">
        <f>IFERROR(_xlfn.XLOOKUP(D107,'ITEM MASTER'!$A:$A,'ITEM MASTER'!$I:$I,"")*IF(F107="CARTON",_xlfn.XLOOKUP(D107,'ITEM MASTER'!$A:$A,'ITEM MASTER'!$H:$H,1),1),"")</f>
        <v>0</v>
      </c>
      <c r="I107">
        <f>IF(OR(C107="PURCHASE",C107="OPENING"),G107*IF(F107="CARTON",_xlfn.XLOOKUP(D107,'ITEM MASTER'!$A:$A,'ITEM MASTER'!$H:$H,1),1),0)</f>
        <v>0</v>
      </c>
      <c r="J107">
        <f>IF(C107="SALE",G107*IF(F107="CARTON",_xlfn.XLOOKUP(D107,'ITEM MASTER'!$A:$A,'ITEM MASTER'!$H:$H,1),1),0)</f>
        <v>0</v>
      </c>
      <c r="K107">
        <f>SUMIFS($I$2:I107,$D$2:D107,D107)-SUMIFS($J$2:J107,$D$2:D107,D107)</f>
        <v>0</v>
      </c>
    </row>
    <row r="108" spans="5:11" x14ac:dyDescent="0.3">
      <c r="E108">
        <f>IFERROR(_xlfn.XLOOKUP(D108,'ITEM MASTER'!$A:$A,'ITEM MASTER'!$B:$B,""),"")</f>
        <v>0</v>
      </c>
      <c r="F108" t="s">
        <v>44</v>
      </c>
      <c r="H108">
        <f>IFERROR(_xlfn.XLOOKUP(D108,'ITEM MASTER'!$A:$A,'ITEM MASTER'!$I:$I,"")*IF(F108="CARTON",_xlfn.XLOOKUP(D108,'ITEM MASTER'!$A:$A,'ITEM MASTER'!$H:$H,1),1),"")</f>
        <v>0</v>
      </c>
      <c r="I108">
        <f>IF(OR(C108="PURCHASE",C108="OPENING"),G108*IF(F108="CARTON",_xlfn.XLOOKUP(D108,'ITEM MASTER'!$A:$A,'ITEM MASTER'!$H:$H,1),1),0)</f>
        <v>0</v>
      </c>
      <c r="J108">
        <f>IF(C108="SALE",G108*IF(F108="CARTON",_xlfn.XLOOKUP(D108,'ITEM MASTER'!$A:$A,'ITEM MASTER'!$H:$H,1),1),0)</f>
        <v>0</v>
      </c>
      <c r="K108">
        <f>SUMIFS($I$2:I108,$D$2:D108,D108)-SUMIFS($J$2:J108,$D$2:D108,D108)</f>
        <v>0</v>
      </c>
    </row>
    <row r="109" spans="5:11" x14ac:dyDescent="0.3">
      <c r="E109">
        <f>IFERROR(_xlfn.XLOOKUP(D109,'ITEM MASTER'!$A:$A,'ITEM MASTER'!$B:$B,""),"")</f>
        <v>0</v>
      </c>
      <c r="F109" t="s">
        <v>44</v>
      </c>
      <c r="H109">
        <f>IFERROR(_xlfn.XLOOKUP(D109,'ITEM MASTER'!$A:$A,'ITEM MASTER'!$I:$I,"")*IF(F109="CARTON",_xlfn.XLOOKUP(D109,'ITEM MASTER'!$A:$A,'ITEM MASTER'!$H:$H,1),1),"")</f>
        <v>0</v>
      </c>
      <c r="I109">
        <f>IF(OR(C109="PURCHASE",C109="OPENING"),G109*IF(F109="CARTON",_xlfn.XLOOKUP(D109,'ITEM MASTER'!$A:$A,'ITEM MASTER'!$H:$H,1),1),0)</f>
        <v>0</v>
      </c>
      <c r="J109">
        <f>IF(C109="SALE",G109*IF(F109="CARTON",_xlfn.XLOOKUP(D109,'ITEM MASTER'!$A:$A,'ITEM MASTER'!$H:$H,1),1),0)</f>
        <v>0</v>
      </c>
      <c r="K109">
        <f>SUMIFS($I$2:I109,$D$2:D109,D109)-SUMIFS($J$2:J109,$D$2:D109,D109)</f>
        <v>0</v>
      </c>
    </row>
    <row r="110" spans="5:11" x14ac:dyDescent="0.3">
      <c r="E110">
        <f>IFERROR(_xlfn.XLOOKUP(D110,'ITEM MASTER'!$A:$A,'ITEM MASTER'!$B:$B,""),"")</f>
        <v>0</v>
      </c>
      <c r="F110" t="s">
        <v>44</v>
      </c>
      <c r="H110">
        <f>IFERROR(_xlfn.XLOOKUP(D110,'ITEM MASTER'!$A:$A,'ITEM MASTER'!$I:$I,"")*IF(F110="CARTON",_xlfn.XLOOKUP(D110,'ITEM MASTER'!$A:$A,'ITEM MASTER'!$H:$H,1),1),"")</f>
        <v>0</v>
      </c>
      <c r="I110">
        <f>IF(OR(C110="PURCHASE",C110="OPENING"),G110*IF(F110="CARTON",_xlfn.XLOOKUP(D110,'ITEM MASTER'!$A:$A,'ITEM MASTER'!$H:$H,1),1),0)</f>
        <v>0</v>
      </c>
      <c r="J110">
        <f>IF(C110="SALE",G110*IF(F110="CARTON",_xlfn.XLOOKUP(D110,'ITEM MASTER'!$A:$A,'ITEM MASTER'!$H:$H,1),1),0)</f>
        <v>0</v>
      </c>
      <c r="K110">
        <f>SUMIFS($I$2:I110,$D$2:D110,D110)-SUMIFS($J$2:J110,$D$2:D110,D110)</f>
        <v>0</v>
      </c>
    </row>
    <row r="111" spans="5:11" x14ac:dyDescent="0.3">
      <c r="E111">
        <f>IFERROR(_xlfn.XLOOKUP(D111,'ITEM MASTER'!$A:$A,'ITEM MASTER'!$B:$B,""),"")</f>
        <v>0</v>
      </c>
      <c r="F111" t="s">
        <v>44</v>
      </c>
      <c r="H111">
        <f>IFERROR(_xlfn.XLOOKUP(D111,'ITEM MASTER'!$A:$A,'ITEM MASTER'!$I:$I,"")*IF(F111="CARTON",_xlfn.XLOOKUP(D111,'ITEM MASTER'!$A:$A,'ITEM MASTER'!$H:$H,1),1),"")</f>
        <v>0</v>
      </c>
      <c r="I111">
        <f>IF(OR(C111="PURCHASE",C111="OPENING"),G111*IF(F111="CARTON",_xlfn.XLOOKUP(D111,'ITEM MASTER'!$A:$A,'ITEM MASTER'!$H:$H,1),1),0)</f>
        <v>0</v>
      </c>
      <c r="J111">
        <f>IF(C111="SALE",G111*IF(F111="CARTON",_xlfn.XLOOKUP(D111,'ITEM MASTER'!$A:$A,'ITEM MASTER'!$H:$H,1),1),0)</f>
        <v>0</v>
      </c>
      <c r="K111">
        <f>SUMIFS($I$2:I111,$D$2:D111,D111)-SUMIFS($J$2:J111,$D$2:D111,D111)</f>
        <v>0</v>
      </c>
    </row>
    <row r="112" spans="5:11" x14ac:dyDescent="0.3">
      <c r="E112">
        <f>IFERROR(_xlfn.XLOOKUP(D112,'ITEM MASTER'!$A:$A,'ITEM MASTER'!$B:$B,""),"")</f>
        <v>0</v>
      </c>
      <c r="F112" t="s">
        <v>44</v>
      </c>
      <c r="H112">
        <f>IFERROR(_xlfn.XLOOKUP(D112,'ITEM MASTER'!$A:$A,'ITEM MASTER'!$I:$I,"")*IF(F112="CARTON",_xlfn.XLOOKUP(D112,'ITEM MASTER'!$A:$A,'ITEM MASTER'!$H:$H,1),1),"")</f>
        <v>0</v>
      </c>
      <c r="I112">
        <f>IF(OR(C112="PURCHASE",C112="OPENING"),G112*IF(F112="CARTON",_xlfn.XLOOKUP(D112,'ITEM MASTER'!$A:$A,'ITEM MASTER'!$H:$H,1),1),0)</f>
        <v>0</v>
      </c>
      <c r="J112">
        <f>IF(C112="SALE",G112*IF(F112="CARTON",_xlfn.XLOOKUP(D112,'ITEM MASTER'!$A:$A,'ITEM MASTER'!$H:$H,1),1),0)</f>
        <v>0</v>
      </c>
      <c r="K112">
        <f>SUMIFS($I$2:I112,$D$2:D112,D112)-SUMIFS($J$2:J112,$D$2:D112,D112)</f>
        <v>0</v>
      </c>
    </row>
    <row r="113" spans="5:11" x14ac:dyDescent="0.3">
      <c r="E113">
        <f>IFERROR(_xlfn.XLOOKUP(D113,'ITEM MASTER'!$A:$A,'ITEM MASTER'!$B:$B,""),"")</f>
        <v>0</v>
      </c>
      <c r="F113" t="s">
        <v>44</v>
      </c>
      <c r="H113">
        <f>IFERROR(_xlfn.XLOOKUP(D113,'ITEM MASTER'!$A:$A,'ITEM MASTER'!$I:$I,"")*IF(F113="CARTON",_xlfn.XLOOKUP(D113,'ITEM MASTER'!$A:$A,'ITEM MASTER'!$H:$H,1),1),"")</f>
        <v>0</v>
      </c>
      <c r="I113">
        <f>IF(OR(C113="PURCHASE",C113="OPENING"),G113*IF(F113="CARTON",_xlfn.XLOOKUP(D113,'ITEM MASTER'!$A:$A,'ITEM MASTER'!$H:$H,1),1),0)</f>
        <v>0</v>
      </c>
      <c r="J113">
        <f>IF(C113="SALE",G113*IF(F113="CARTON",_xlfn.XLOOKUP(D113,'ITEM MASTER'!$A:$A,'ITEM MASTER'!$H:$H,1),1),0)</f>
        <v>0</v>
      </c>
      <c r="K113">
        <f>SUMIFS($I$2:I113,$D$2:D113,D113)-SUMIFS($J$2:J113,$D$2:D113,D113)</f>
        <v>0</v>
      </c>
    </row>
    <row r="114" spans="5:11" x14ac:dyDescent="0.3">
      <c r="E114">
        <f>IFERROR(_xlfn.XLOOKUP(D114,'ITEM MASTER'!$A:$A,'ITEM MASTER'!$B:$B,""),"")</f>
        <v>0</v>
      </c>
      <c r="F114" t="s">
        <v>44</v>
      </c>
      <c r="H114">
        <f>IFERROR(_xlfn.XLOOKUP(D114,'ITEM MASTER'!$A:$A,'ITEM MASTER'!$I:$I,"")*IF(F114="CARTON",_xlfn.XLOOKUP(D114,'ITEM MASTER'!$A:$A,'ITEM MASTER'!$H:$H,1),1),"")</f>
        <v>0</v>
      </c>
      <c r="I114">
        <f>IF(OR(C114="PURCHASE",C114="OPENING"),G114*IF(F114="CARTON",_xlfn.XLOOKUP(D114,'ITEM MASTER'!$A:$A,'ITEM MASTER'!$H:$H,1),1),0)</f>
        <v>0</v>
      </c>
      <c r="J114">
        <f>IF(C114="SALE",G114*IF(F114="CARTON",_xlfn.XLOOKUP(D114,'ITEM MASTER'!$A:$A,'ITEM MASTER'!$H:$H,1),1),0)</f>
        <v>0</v>
      </c>
      <c r="K114">
        <f>SUMIFS($I$2:I114,$D$2:D114,D114)-SUMIFS($J$2:J114,$D$2:D114,D114)</f>
        <v>0</v>
      </c>
    </row>
    <row r="115" spans="5:11" x14ac:dyDescent="0.3">
      <c r="E115">
        <f>IFERROR(_xlfn.XLOOKUP(D115,'ITEM MASTER'!$A:$A,'ITEM MASTER'!$B:$B,""),"")</f>
        <v>0</v>
      </c>
      <c r="F115" t="s">
        <v>44</v>
      </c>
      <c r="H115">
        <f>IFERROR(_xlfn.XLOOKUP(D115,'ITEM MASTER'!$A:$A,'ITEM MASTER'!$I:$I,"")*IF(F115="CARTON",_xlfn.XLOOKUP(D115,'ITEM MASTER'!$A:$A,'ITEM MASTER'!$H:$H,1),1),"")</f>
        <v>0</v>
      </c>
      <c r="I115">
        <f>IF(OR(C115="PURCHASE",C115="OPENING"),G115*IF(F115="CARTON",_xlfn.XLOOKUP(D115,'ITEM MASTER'!$A:$A,'ITEM MASTER'!$H:$H,1),1),0)</f>
        <v>0</v>
      </c>
      <c r="J115">
        <f>IF(C115="SALE",G115*IF(F115="CARTON",_xlfn.XLOOKUP(D115,'ITEM MASTER'!$A:$A,'ITEM MASTER'!$H:$H,1),1),0)</f>
        <v>0</v>
      </c>
      <c r="K115">
        <f>SUMIFS($I$2:I115,$D$2:D115,D115)-SUMIFS($J$2:J115,$D$2:D115,D115)</f>
        <v>0</v>
      </c>
    </row>
    <row r="116" spans="5:11" x14ac:dyDescent="0.3">
      <c r="E116">
        <f>IFERROR(_xlfn.XLOOKUP(D116,'ITEM MASTER'!$A:$A,'ITEM MASTER'!$B:$B,""),"")</f>
        <v>0</v>
      </c>
      <c r="F116" t="s">
        <v>44</v>
      </c>
      <c r="H116">
        <f>IFERROR(_xlfn.XLOOKUP(D116,'ITEM MASTER'!$A:$A,'ITEM MASTER'!$I:$I,"")*IF(F116="CARTON",_xlfn.XLOOKUP(D116,'ITEM MASTER'!$A:$A,'ITEM MASTER'!$H:$H,1),1),"")</f>
        <v>0</v>
      </c>
      <c r="I116">
        <f>IF(OR(C116="PURCHASE",C116="OPENING"),G116*IF(F116="CARTON",_xlfn.XLOOKUP(D116,'ITEM MASTER'!$A:$A,'ITEM MASTER'!$H:$H,1),1),0)</f>
        <v>0</v>
      </c>
      <c r="J116">
        <f>IF(C116="SALE",G116*IF(F116="CARTON",_xlfn.XLOOKUP(D116,'ITEM MASTER'!$A:$A,'ITEM MASTER'!$H:$H,1),1),0)</f>
        <v>0</v>
      </c>
      <c r="K116">
        <f>SUMIFS($I$2:I116,$D$2:D116,D116)-SUMIFS($J$2:J116,$D$2:D116,D116)</f>
        <v>0</v>
      </c>
    </row>
    <row r="117" spans="5:11" x14ac:dyDescent="0.3">
      <c r="E117">
        <f>IFERROR(_xlfn.XLOOKUP(D117,'ITEM MASTER'!$A:$A,'ITEM MASTER'!$B:$B,""),"")</f>
        <v>0</v>
      </c>
      <c r="F117" t="s">
        <v>44</v>
      </c>
      <c r="H117">
        <f>IFERROR(_xlfn.XLOOKUP(D117,'ITEM MASTER'!$A:$A,'ITEM MASTER'!$I:$I,"")*IF(F117="CARTON",_xlfn.XLOOKUP(D117,'ITEM MASTER'!$A:$A,'ITEM MASTER'!$H:$H,1),1),"")</f>
        <v>0</v>
      </c>
      <c r="I117">
        <f>IF(OR(C117="PURCHASE",C117="OPENING"),G117*IF(F117="CARTON",_xlfn.XLOOKUP(D117,'ITEM MASTER'!$A:$A,'ITEM MASTER'!$H:$H,1),1),0)</f>
        <v>0</v>
      </c>
      <c r="J117">
        <f>IF(C117="SALE",G117*IF(F117="CARTON",_xlfn.XLOOKUP(D117,'ITEM MASTER'!$A:$A,'ITEM MASTER'!$H:$H,1),1),0)</f>
        <v>0</v>
      </c>
      <c r="K117">
        <f>SUMIFS($I$2:I117,$D$2:D117,D117)-SUMIFS($J$2:J117,$D$2:D117,D117)</f>
        <v>0</v>
      </c>
    </row>
    <row r="118" spans="5:11" x14ac:dyDescent="0.3">
      <c r="E118">
        <f>IFERROR(_xlfn.XLOOKUP(D118,'ITEM MASTER'!$A:$A,'ITEM MASTER'!$B:$B,""),"")</f>
        <v>0</v>
      </c>
      <c r="F118" t="s">
        <v>44</v>
      </c>
      <c r="H118">
        <f>IFERROR(_xlfn.XLOOKUP(D118,'ITEM MASTER'!$A:$A,'ITEM MASTER'!$I:$I,"")*IF(F118="CARTON",_xlfn.XLOOKUP(D118,'ITEM MASTER'!$A:$A,'ITEM MASTER'!$H:$H,1),1),"")</f>
        <v>0</v>
      </c>
      <c r="I118">
        <f>IF(OR(C118="PURCHASE",C118="OPENING"),G118*IF(F118="CARTON",_xlfn.XLOOKUP(D118,'ITEM MASTER'!$A:$A,'ITEM MASTER'!$H:$H,1),1),0)</f>
        <v>0</v>
      </c>
      <c r="J118">
        <f>IF(C118="SALE",G118*IF(F118="CARTON",_xlfn.XLOOKUP(D118,'ITEM MASTER'!$A:$A,'ITEM MASTER'!$H:$H,1),1),0)</f>
        <v>0</v>
      </c>
      <c r="K118">
        <f>SUMIFS($I$2:I118,$D$2:D118,D118)-SUMIFS($J$2:J118,$D$2:D118,D118)</f>
        <v>0</v>
      </c>
    </row>
    <row r="119" spans="5:11" x14ac:dyDescent="0.3">
      <c r="E119">
        <f>IFERROR(_xlfn.XLOOKUP(D119,'ITEM MASTER'!$A:$A,'ITEM MASTER'!$B:$B,""),"")</f>
        <v>0</v>
      </c>
      <c r="F119" t="s">
        <v>44</v>
      </c>
      <c r="H119">
        <f>IFERROR(_xlfn.XLOOKUP(D119,'ITEM MASTER'!$A:$A,'ITEM MASTER'!$I:$I,"")*IF(F119="CARTON",_xlfn.XLOOKUP(D119,'ITEM MASTER'!$A:$A,'ITEM MASTER'!$H:$H,1),1),"")</f>
        <v>0</v>
      </c>
      <c r="I119">
        <f>IF(OR(C119="PURCHASE",C119="OPENING"),G119*IF(F119="CARTON",_xlfn.XLOOKUP(D119,'ITEM MASTER'!$A:$A,'ITEM MASTER'!$H:$H,1),1),0)</f>
        <v>0</v>
      </c>
      <c r="J119">
        <f>IF(C119="SALE",G119*IF(F119="CARTON",_xlfn.XLOOKUP(D119,'ITEM MASTER'!$A:$A,'ITEM MASTER'!$H:$H,1),1),0)</f>
        <v>0</v>
      </c>
      <c r="K119">
        <f>SUMIFS($I$2:I119,$D$2:D119,D119)-SUMIFS($J$2:J119,$D$2:D119,D119)</f>
        <v>0</v>
      </c>
    </row>
    <row r="120" spans="5:11" x14ac:dyDescent="0.3">
      <c r="E120">
        <f>IFERROR(_xlfn.XLOOKUP(D120,'ITEM MASTER'!$A:$A,'ITEM MASTER'!$B:$B,""),"")</f>
        <v>0</v>
      </c>
      <c r="F120" t="s">
        <v>44</v>
      </c>
      <c r="H120">
        <f>IFERROR(_xlfn.XLOOKUP(D120,'ITEM MASTER'!$A:$A,'ITEM MASTER'!$I:$I,"")*IF(F120="CARTON",_xlfn.XLOOKUP(D120,'ITEM MASTER'!$A:$A,'ITEM MASTER'!$H:$H,1),1),"")</f>
        <v>0</v>
      </c>
      <c r="I120">
        <f>IF(OR(C120="PURCHASE",C120="OPENING"),G120*IF(F120="CARTON",_xlfn.XLOOKUP(D120,'ITEM MASTER'!$A:$A,'ITEM MASTER'!$H:$H,1),1),0)</f>
        <v>0</v>
      </c>
      <c r="J120">
        <f>IF(C120="SALE",G120*IF(F120="CARTON",_xlfn.XLOOKUP(D120,'ITEM MASTER'!$A:$A,'ITEM MASTER'!$H:$H,1),1),0)</f>
        <v>0</v>
      </c>
      <c r="K120">
        <f>SUMIFS($I$2:I120,$D$2:D120,D120)-SUMIFS($J$2:J120,$D$2:D120,D120)</f>
        <v>0</v>
      </c>
    </row>
    <row r="121" spans="5:11" x14ac:dyDescent="0.3">
      <c r="E121">
        <f>IFERROR(_xlfn.XLOOKUP(D121,'ITEM MASTER'!$A:$A,'ITEM MASTER'!$B:$B,""),"")</f>
        <v>0</v>
      </c>
      <c r="F121" t="s">
        <v>44</v>
      </c>
      <c r="H121">
        <f>IFERROR(_xlfn.XLOOKUP(D121,'ITEM MASTER'!$A:$A,'ITEM MASTER'!$I:$I,"")*IF(F121="CARTON",_xlfn.XLOOKUP(D121,'ITEM MASTER'!$A:$A,'ITEM MASTER'!$H:$H,1),1),"")</f>
        <v>0</v>
      </c>
      <c r="I121">
        <f>IF(OR(C121="PURCHASE",C121="OPENING"),G121*IF(F121="CARTON",_xlfn.XLOOKUP(D121,'ITEM MASTER'!$A:$A,'ITEM MASTER'!$H:$H,1),1),0)</f>
        <v>0</v>
      </c>
      <c r="J121">
        <f>IF(C121="SALE",G121*IF(F121="CARTON",_xlfn.XLOOKUP(D121,'ITEM MASTER'!$A:$A,'ITEM MASTER'!$H:$H,1),1),0)</f>
        <v>0</v>
      </c>
      <c r="K121">
        <f>SUMIFS($I$2:I121,$D$2:D121,D121)-SUMIFS($J$2:J121,$D$2:D121,D121)</f>
        <v>0</v>
      </c>
    </row>
    <row r="122" spans="5:11" x14ac:dyDescent="0.3">
      <c r="E122">
        <f>IFERROR(_xlfn.XLOOKUP(D122,'ITEM MASTER'!$A:$A,'ITEM MASTER'!$B:$B,""),"")</f>
        <v>0</v>
      </c>
      <c r="F122" t="s">
        <v>44</v>
      </c>
      <c r="H122">
        <f>IFERROR(_xlfn.XLOOKUP(D122,'ITEM MASTER'!$A:$A,'ITEM MASTER'!$I:$I,"")*IF(F122="CARTON",_xlfn.XLOOKUP(D122,'ITEM MASTER'!$A:$A,'ITEM MASTER'!$H:$H,1),1),"")</f>
        <v>0</v>
      </c>
      <c r="I122">
        <f>IF(OR(C122="PURCHASE",C122="OPENING"),G122*IF(F122="CARTON",_xlfn.XLOOKUP(D122,'ITEM MASTER'!$A:$A,'ITEM MASTER'!$H:$H,1),1),0)</f>
        <v>0</v>
      </c>
      <c r="J122">
        <f>IF(C122="SALE",G122*IF(F122="CARTON",_xlfn.XLOOKUP(D122,'ITEM MASTER'!$A:$A,'ITEM MASTER'!$H:$H,1),1),0)</f>
        <v>0</v>
      </c>
      <c r="K122">
        <f>SUMIFS($I$2:I122,$D$2:D122,D122)-SUMIFS($J$2:J122,$D$2:D122,D122)</f>
        <v>0</v>
      </c>
    </row>
    <row r="123" spans="5:11" x14ac:dyDescent="0.3">
      <c r="E123">
        <f>IFERROR(_xlfn.XLOOKUP(D123,'ITEM MASTER'!$A:$A,'ITEM MASTER'!$B:$B,""),"")</f>
        <v>0</v>
      </c>
      <c r="F123" t="s">
        <v>44</v>
      </c>
      <c r="H123">
        <f>IFERROR(_xlfn.XLOOKUP(D123,'ITEM MASTER'!$A:$A,'ITEM MASTER'!$I:$I,"")*IF(F123="CARTON",_xlfn.XLOOKUP(D123,'ITEM MASTER'!$A:$A,'ITEM MASTER'!$H:$H,1),1),"")</f>
        <v>0</v>
      </c>
      <c r="I123">
        <f>IF(OR(C123="PURCHASE",C123="OPENING"),G123*IF(F123="CARTON",_xlfn.XLOOKUP(D123,'ITEM MASTER'!$A:$A,'ITEM MASTER'!$H:$H,1),1),0)</f>
        <v>0</v>
      </c>
      <c r="J123">
        <f>IF(C123="SALE",G123*IF(F123="CARTON",_xlfn.XLOOKUP(D123,'ITEM MASTER'!$A:$A,'ITEM MASTER'!$H:$H,1),1),0)</f>
        <v>0</v>
      </c>
      <c r="K123">
        <f>SUMIFS($I$2:I123,$D$2:D123,D123)-SUMIFS($J$2:J123,$D$2:D123,D123)</f>
        <v>0</v>
      </c>
    </row>
    <row r="124" spans="5:11" x14ac:dyDescent="0.3">
      <c r="E124">
        <f>IFERROR(_xlfn.XLOOKUP(D124,'ITEM MASTER'!$A:$A,'ITEM MASTER'!$B:$B,""),"")</f>
        <v>0</v>
      </c>
      <c r="F124" t="s">
        <v>44</v>
      </c>
      <c r="H124">
        <f>IFERROR(_xlfn.XLOOKUP(D124,'ITEM MASTER'!$A:$A,'ITEM MASTER'!$I:$I,"")*IF(F124="CARTON",_xlfn.XLOOKUP(D124,'ITEM MASTER'!$A:$A,'ITEM MASTER'!$H:$H,1),1),"")</f>
        <v>0</v>
      </c>
      <c r="I124">
        <f>IF(OR(C124="PURCHASE",C124="OPENING"),G124*IF(F124="CARTON",_xlfn.XLOOKUP(D124,'ITEM MASTER'!$A:$A,'ITEM MASTER'!$H:$H,1),1),0)</f>
        <v>0</v>
      </c>
      <c r="J124">
        <f>IF(C124="SALE",G124*IF(F124="CARTON",_xlfn.XLOOKUP(D124,'ITEM MASTER'!$A:$A,'ITEM MASTER'!$H:$H,1),1),0)</f>
        <v>0</v>
      </c>
      <c r="K124">
        <f>SUMIFS($I$2:I124,$D$2:D124,D124)-SUMIFS($J$2:J124,$D$2:D124,D124)</f>
        <v>0</v>
      </c>
    </row>
    <row r="125" spans="5:11" x14ac:dyDescent="0.3">
      <c r="E125">
        <f>IFERROR(_xlfn.XLOOKUP(D125,'ITEM MASTER'!$A:$A,'ITEM MASTER'!$B:$B,""),"")</f>
        <v>0</v>
      </c>
      <c r="F125" t="s">
        <v>44</v>
      </c>
      <c r="H125">
        <f>IFERROR(_xlfn.XLOOKUP(D125,'ITEM MASTER'!$A:$A,'ITEM MASTER'!$I:$I,"")*IF(F125="CARTON",_xlfn.XLOOKUP(D125,'ITEM MASTER'!$A:$A,'ITEM MASTER'!$H:$H,1),1),"")</f>
        <v>0</v>
      </c>
      <c r="I125">
        <f>IF(OR(C125="PURCHASE",C125="OPENING"),G125*IF(F125="CARTON",_xlfn.XLOOKUP(D125,'ITEM MASTER'!$A:$A,'ITEM MASTER'!$H:$H,1),1),0)</f>
        <v>0</v>
      </c>
      <c r="J125">
        <f>IF(C125="SALE",G125*IF(F125="CARTON",_xlfn.XLOOKUP(D125,'ITEM MASTER'!$A:$A,'ITEM MASTER'!$H:$H,1),1),0)</f>
        <v>0</v>
      </c>
      <c r="K125">
        <f>SUMIFS($I$2:I125,$D$2:D125,D125)-SUMIFS($J$2:J125,$D$2:D125,D125)</f>
        <v>0</v>
      </c>
    </row>
    <row r="126" spans="5:11" x14ac:dyDescent="0.3">
      <c r="E126">
        <f>IFERROR(_xlfn.XLOOKUP(D126,'ITEM MASTER'!$A:$A,'ITEM MASTER'!$B:$B,""),"")</f>
        <v>0</v>
      </c>
      <c r="F126" t="s">
        <v>44</v>
      </c>
      <c r="H126">
        <f>IFERROR(_xlfn.XLOOKUP(D126,'ITEM MASTER'!$A:$A,'ITEM MASTER'!$I:$I,"")*IF(F126="CARTON",_xlfn.XLOOKUP(D126,'ITEM MASTER'!$A:$A,'ITEM MASTER'!$H:$H,1),1),"")</f>
        <v>0</v>
      </c>
      <c r="I126">
        <f>IF(OR(C126="PURCHASE",C126="OPENING"),G126*IF(F126="CARTON",_xlfn.XLOOKUP(D126,'ITEM MASTER'!$A:$A,'ITEM MASTER'!$H:$H,1),1),0)</f>
        <v>0</v>
      </c>
      <c r="J126">
        <f>IF(C126="SALE",G126*IF(F126="CARTON",_xlfn.XLOOKUP(D126,'ITEM MASTER'!$A:$A,'ITEM MASTER'!$H:$H,1),1),0)</f>
        <v>0</v>
      </c>
      <c r="K126">
        <f>SUMIFS($I$2:I126,$D$2:D126,D126)-SUMIFS($J$2:J126,$D$2:D126,D126)</f>
        <v>0</v>
      </c>
    </row>
    <row r="127" spans="5:11" x14ac:dyDescent="0.3">
      <c r="E127">
        <f>IFERROR(_xlfn.XLOOKUP(D127,'ITEM MASTER'!$A:$A,'ITEM MASTER'!$B:$B,""),"")</f>
        <v>0</v>
      </c>
      <c r="F127" t="s">
        <v>44</v>
      </c>
      <c r="H127">
        <f>IFERROR(_xlfn.XLOOKUP(D127,'ITEM MASTER'!$A:$A,'ITEM MASTER'!$I:$I,"")*IF(F127="CARTON",_xlfn.XLOOKUP(D127,'ITEM MASTER'!$A:$A,'ITEM MASTER'!$H:$H,1),1),"")</f>
        <v>0</v>
      </c>
      <c r="I127">
        <f>IF(OR(C127="PURCHASE",C127="OPENING"),G127*IF(F127="CARTON",_xlfn.XLOOKUP(D127,'ITEM MASTER'!$A:$A,'ITEM MASTER'!$H:$H,1),1),0)</f>
        <v>0</v>
      </c>
      <c r="J127">
        <f>IF(C127="SALE",G127*IF(F127="CARTON",_xlfn.XLOOKUP(D127,'ITEM MASTER'!$A:$A,'ITEM MASTER'!$H:$H,1),1),0)</f>
        <v>0</v>
      </c>
      <c r="K127">
        <f>SUMIFS($I$2:I127,$D$2:D127,D127)-SUMIFS($J$2:J127,$D$2:D127,D127)</f>
        <v>0</v>
      </c>
    </row>
    <row r="128" spans="5:11" x14ac:dyDescent="0.3">
      <c r="E128">
        <f>IFERROR(_xlfn.XLOOKUP(D128,'ITEM MASTER'!$A:$A,'ITEM MASTER'!$B:$B,""),"")</f>
        <v>0</v>
      </c>
      <c r="F128" t="s">
        <v>44</v>
      </c>
      <c r="H128">
        <f>IFERROR(_xlfn.XLOOKUP(D128,'ITEM MASTER'!$A:$A,'ITEM MASTER'!$I:$I,"")*IF(F128="CARTON",_xlfn.XLOOKUP(D128,'ITEM MASTER'!$A:$A,'ITEM MASTER'!$H:$H,1),1),"")</f>
        <v>0</v>
      </c>
      <c r="I128">
        <f>IF(OR(C128="PURCHASE",C128="OPENING"),G128*IF(F128="CARTON",_xlfn.XLOOKUP(D128,'ITEM MASTER'!$A:$A,'ITEM MASTER'!$H:$H,1),1),0)</f>
        <v>0</v>
      </c>
      <c r="J128">
        <f>IF(C128="SALE",G128*IF(F128="CARTON",_xlfn.XLOOKUP(D128,'ITEM MASTER'!$A:$A,'ITEM MASTER'!$H:$H,1),1),0)</f>
        <v>0</v>
      </c>
      <c r="K128">
        <f>SUMIFS($I$2:I128,$D$2:D128,D128)-SUMIFS($J$2:J128,$D$2:D128,D128)</f>
        <v>0</v>
      </c>
    </row>
    <row r="129" spans="5:11" x14ac:dyDescent="0.3">
      <c r="E129">
        <f>IFERROR(_xlfn.XLOOKUP(D129,'ITEM MASTER'!$A:$A,'ITEM MASTER'!$B:$B,""),"")</f>
        <v>0</v>
      </c>
      <c r="F129" t="s">
        <v>44</v>
      </c>
      <c r="H129">
        <f>IFERROR(_xlfn.XLOOKUP(D129,'ITEM MASTER'!$A:$A,'ITEM MASTER'!$I:$I,"")*IF(F129="CARTON",_xlfn.XLOOKUP(D129,'ITEM MASTER'!$A:$A,'ITEM MASTER'!$H:$H,1),1),"")</f>
        <v>0</v>
      </c>
      <c r="I129">
        <f>IF(OR(C129="PURCHASE",C129="OPENING"),G129*IF(F129="CARTON",_xlfn.XLOOKUP(D129,'ITEM MASTER'!$A:$A,'ITEM MASTER'!$H:$H,1),1),0)</f>
        <v>0</v>
      </c>
      <c r="J129">
        <f>IF(C129="SALE",G129*IF(F129="CARTON",_xlfn.XLOOKUP(D129,'ITEM MASTER'!$A:$A,'ITEM MASTER'!$H:$H,1),1),0)</f>
        <v>0</v>
      </c>
      <c r="K129">
        <f>SUMIFS($I$2:I129,$D$2:D129,D129)-SUMIFS($J$2:J129,$D$2:D129,D129)</f>
        <v>0</v>
      </c>
    </row>
    <row r="130" spans="5:11" x14ac:dyDescent="0.3">
      <c r="E130">
        <f>IFERROR(_xlfn.XLOOKUP(D130,'ITEM MASTER'!$A:$A,'ITEM MASTER'!$B:$B,""),"")</f>
        <v>0</v>
      </c>
      <c r="F130" t="s">
        <v>44</v>
      </c>
      <c r="H130">
        <f>IFERROR(_xlfn.XLOOKUP(D130,'ITEM MASTER'!$A:$A,'ITEM MASTER'!$I:$I,"")*IF(F130="CARTON",_xlfn.XLOOKUP(D130,'ITEM MASTER'!$A:$A,'ITEM MASTER'!$H:$H,1),1),"")</f>
        <v>0</v>
      </c>
      <c r="I130">
        <f>IF(OR(C130="PURCHASE",C130="OPENING"),G130*IF(F130="CARTON",_xlfn.XLOOKUP(D130,'ITEM MASTER'!$A:$A,'ITEM MASTER'!$H:$H,1),1),0)</f>
        <v>0</v>
      </c>
      <c r="J130">
        <f>IF(C130="SALE",G130*IF(F130="CARTON",_xlfn.XLOOKUP(D130,'ITEM MASTER'!$A:$A,'ITEM MASTER'!$H:$H,1),1),0)</f>
        <v>0</v>
      </c>
      <c r="K130">
        <f>SUMIFS($I$2:I130,$D$2:D130,D130)-SUMIFS($J$2:J130,$D$2:D130,D130)</f>
        <v>0</v>
      </c>
    </row>
    <row r="131" spans="5:11" x14ac:dyDescent="0.3">
      <c r="E131">
        <f>IFERROR(_xlfn.XLOOKUP(D131,'ITEM MASTER'!$A:$A,'ITEM MASTER'!$B:$B,""),"")</f>
        <v>0</v>
      </c>
      <c r="F131" t="s">
        <v>44</v>
      </c>
      <c r="H131">
        <f>IFERROR(_xlfn.XLOOKUP(D131,'ITEM MASTER'!$A:$A,'ITEM MASTER'!$I:$I,"")*IF(F131="CARTON",_xlfn.XLOOKUP(D131,'ITEM MASTER'!$A:$A,'ITEM MASTER'!$H:$H,1),1),"")</f>
        <v>0</v>
      </c>
      <c r="I131">
        <f>IF(OR(C131="PURCHASE",C131="OPENING"),G131*IF(F131="CARTON",_xlfn.XLOOKUP(D131,'ITEM MASTER'!$A:$A,'ITEM MASTER'!$H:$H,1),1),0)</f>
        <v>0</v>
      </c>
      <c r="J131">
        <f>IF(C131="SALE",G131*IF(F131="CARTON",_xlfn.XLOOKUP(D131,'ITEM MASTER'!$A:$A,'ITEM MASTER'!$H:$H,1),1),0)</f>
        <v>0</v>
      </c>
      <c r="K131">
        <f>SUMIFS($I$2:I131,$D$2:D131,D131)-SUMIFS($J$2:J131,$D$2:D131,D131)</f>
        <v>0</v>
      </c>
    </row>
    <row r="132" spans="5:11" x14ac:dyDescent="0.3">
      <c r="E132">
        <f>IFERROR(_xlfn.XLOOKUP(D132,'ITEM MASTER'!$A:$A,'ITEM MASTER'!$B:$B,""),"")</f>
        <v>0</v>
      </c>
      <c r="F132" t="s">
        <v>44</v>
      </c>
      <c r="H132">
        <f>IFERROR(_xlfn.XLOOKUP(D132,'ITEM MASTER'!$A:$A,'ITEM MASTER'!$I:$I,"")*IF(F132="CARTON",_xlfn.XLOOKUP(D132,'ITEM MASTER'!$A:$A,'ITEM MASTER'!$H:$H,1),1),"")</f>
        <v>0</v>
      </c>
      <c r="I132">
        <f>IF(OR(C132="PURCHASE",C132="OPENING"),G132*IF(F132="CARTON",_xlfn.XLOOKUP(D132,'ITEM MASTER'!$A:$A,'ITEM MASTER'!$H:$H,1),1),0)</f>
        <v>0</v>
      </c>
      <c r="J132">
        <f>IF(C132="SALE",G132*IF(F132="CARTON",_xlfn.XLOOKUP(D132,'ITEM MASTER'!$A:$A,'ITEM MASTER'!$H:$H,1),1),0)</f>
        <v>0</v>
      </c>
      <c r="K132">
        <f>SUMIFS($I$2:I132,$D$2:D132,D132)-SUMIFS($J$2:J132,$D$2:D132,D132)</f>
        <v>0</v>
      </c>
    </row>
    <row r="133" spans="5:11" x14ac:dyDescent="0.3">
      <c r="E133">
        <f>IFERROR(_xlfn.XLOOKUP(D133,'ITEM MASTER'!$A:$A,'ITEM MASTER'!$B:$B,""),"")</f>
        <v>0</v>
      </c>
      <c r="F133" t="s">
        <v>44</v>
      </c>
      <c r="H133">
        <f>IFERROR(_xlfn.XLOOKUP(D133,'ITEM MASTER'!$A:$A,'ITEM MASTER'!$I:$I,"")*IF(F133="CARTON",_xlfn.XLOOKUP(D133,'ITEM MASTER'!$A:$A,'ITEM MASTER'!$H:$H,1),1),"")</f>
        <v>0</v>
      </c>
      <c r="I133">
        <f>IF(OR(C133="PURCHASE",C133="OPENING"),G133*IF(F133="CARTON",_xlfn.XLOOKUP(D133,'ITEM MASTER'!$A:$A,'ITEM MASTER'!$H:$H,1),1),0)</f>
        <v>0</v>
      </c>
      <c r="J133">
        <f>IF(C133="SALE",G133*IF(F133="CARTON",_xlfn.XLOOKUP(D133,'ITEM MASTER'!$A:$A,'ITEM MASTER'!$H:$H,1),1),0)</f>
        <v>0</v>
      </c>
      <c r="K133">
        <f>SUMIFS($I$2:I133,$D$2:D133,D133)-SUMIFS($J$2:J133,$D$2:D133,D133)</f>
        <v>0</v>
      </c>
    </row>
    <row r="134" spans="5:11" x14ac:dyDescent="0.3">
      <c r="E134">
        <f>IFERROR(_xlfn.XLOOKUP(D134,'ITEM MASTER'!$A:$A,'ITEM MASTER'!$B:$B,""),"")</f>
        <v>0</v>
      </c>
      <c r="F134" t="s">
        <v>44</v>
      </c>
      <c r="H134">
        <f>IFERROR(_xlfn.XLOOKUP(D134,'ITEM MASTER'!$A:$A,'ITEM MASTER'!$I:$I,"")*IF(F134="CARTON",_xlfn.XLOOKUP(D134,'ITEM MASTER'!$A:$A,'ITEM MASTER'!$H:$H,1),1),"")</f>
        <v>0</v>
      </c>
      <c r="I134">
        <f>IF(OR(C134="PURCHASE",C134="OPENING"),G134*IF(F134="CARTON",_xlfn.XLOOKUP(D134,'ITEM MASTER'!$A:$A,'ITEM MASTER'!$H:$H,1),1),0)</f>
        <v>0</v>
      </c>
      <c r="J134">
        <f>IF(C134="SALE",G134*IF(F134="CARTON",_xlfn.XLOOKUP(D134,'ITEM MASTER'!$A:$A,'ITEM MASTER'!$H:$H,1),1),0)</f>
        <v>0</v>
      </c>
      <c r="K134">
        <f>SUMIFS($I$2:I134,$D$2:D134,D134)-SUMIFS($J$2:J134,$D$2:D134,D134)</f>
        <v>0</v>
      </c>
    </row>
    <row r="135" spans="5:11" x14ac:dyDescent="0.3">
      <c r="E135">
        <f>IFERROR(_xlfn.XLOOKUP(D135,'ITEM MASTER'!$A:$A,'ITEM MASTER'!$B:$B,""),"")</f>
        <v>0</v>
      </c>
      <c r="F135" t="s">
        <v>44</v>
      </c>
      <c r="H135">
        <f>IFERROR(_xlfn.XLOOKUP(D135,'ITEM MASTER'!$A:$A,'ITEM MASTER'!$I:$I,"")*IF(F135="CARTON",_xlfn.XLOOKUP(D135,'ITEM MASTER'!$A:$A,'ITEM MASTER'!$H:$H,1),1),"")</f>
        <v>0</v>
      </c>
      <c r="I135">
        <f>IF(OR(C135="PURCHASE",C135="OPENING"),G135*IF(F135="CARTON",_xlfn.XLOOKUP(D135,'ITEM MASTER'!$A:$A,'ITEM MASTER'!$H:$H,1),1),0)</f>
        <v>0</v>
      </c>
      <c r="J135">
        <f>IF(C135="SALE",G135*IF(F135="CARTON",_xlfn.XLOOKUP(D135,'ITEM MASTER'!$A:$A,'ITEM MASTER'!$H:$H,1),1),0)</f>
        <v>0</v>
      </c>
      <c r="K135">
        <f>SUMIFS($I$2:I135,$D$2:D135,D135)-SUMIFS($J$2:J135,$D$2:D135,D135)</f>
        <v>0</v>
      </c>
    </row>
    <row r="136" spans="5:11" x14ac:dyDescent="0.3">
      <c r="E136">
        <f>IFERROR(_xlfn.XLOOKUP(D136,'ITEM MASTER'!$A:$A,'ITEM MASTER'!$B:$B,""),"")</f>
        <v>0</v>
      </c>
      <c r="F136" t="s">
        <v>44</v>
      </c>
      <c r="H136">
        <f>IFERROR(_xlfn.XLOOKUP(D136,'ITEM MASTER'!$A:$A,'ITEM MASTER'!$I:$I,"")*IF(F136="CARTON",_xlfn.XLOOKUP(D136,'ITEM MASTER'!$A:$A,'ITEM MASTER'!$H:$H,1),1),"")</f>
        <v>0</v>
      </c>
      <c r="I136">
        <f>IF(OR(C136="PURCHASE",C136="OPENING"),G136*IF(F136="CARTON",_xlfn.XLOOKUP(D136,'ITEM MASTER'!$A:$A,'ITEM MASTER'!$H:$H,1),1),0)</f>
        <v>0</v>
      </c>
      <c r="J136">
        <f>IF(C136="SALE",G136*IF(F136="CARTON",_xlfn.XLOOKUP(D136,'ITEM MASTER'!$A:$A,'ITEM MASTER'!$H:$H,1),1),0)</f>
        <v>0</v>
      </c>
      <c r="K136">
        <f>SUMIFS($I$2:I136,$D$2:D136,D136)-SUMIFS($J$2:J136,$D$2:D136,D136)</f>
        <v>0</v>
      </c>
    </row>
    <row r="137" spans="5:11" x14ac:dyDescent="0.3">
      <c r="E137">
        <f>IFERROR(_xlfn.XLOOKUP(D137,'ITEM MASTER'!$A:$A,'ITEM MASTER'!$B:$B,""),"")</f>
        <v>0</v>
      </c>
      <c r="F137" t="s">
        <v>44</v>
      </c>
      <c r="H137">
        <f>IFERROR(_xlfn.XLOOKUP(D137,'ITEM MASTER'!$A:$A,'ITEM MASTER'!$I:$I,"")*IF(F137="CARTON",_xlfn.XLOOKUP(D137,'ITEM MASTER'!$A:$A,'ITEM MASTER'!$H:$H,1),1),"")</f>
        <v>0</v>
      </c>
      <c r="I137">
        <f>IF(OR(C137="PURCHASE",C137="OPENING"),G137*IF(F137="CARTON",_xlfn.XLOOKUP(D137,'ITEM MASTER'!$A:$A,'ITEM MASTER'!$H:$H,1),1),0)</f>
        <v>0</v>
      </c>
      <c r="J137">
        <f>IF(C137="SALE",G137*IF(F137="CARTON",_xlfn.XLOOKUP(D137,'ITEM MASTER'!$A:$A,'ITEM MASTER'!$H:$H,1),1),0)</f>
        <v>0</v>
      </c>
      <c r="K137">
        <f>SUMIFS($I$2:I137,$D$2:D137,D137)-SUMIFS($J$2:J137,$D$2:D137,D137)</f>
        <v>0</v>
      </c>
    </row>
    <row r="138" spans="5:11" x14ac:dyDescent="0.3">
      <c r="E138">
        <f>IFERROR(_xlfn.XLOOKUP(D138,'ITEM MASTER'!$A:$A,'ITEM MASTER'!$B:$B,""),"")</f>
        <v>0</v>
      </c>
      <c r="F138" t="s">
        <v>44</v>
      </c>
      <c r="H138">
        <f>IFERROR(_xlfn.XLOOKUP(D138,'ITEM MASTER'!$A:$A,'ITEM MASTER'!$I:$I,"")*IF(F138="CARTON",_xlfn.XLOOKUP(D138,'ITEM MASTER'!$A:$A,'ITEM MASTER'!$H:$H,1),1),"")</f>
        <v>0</v>
      </c>
      <c r="I138">
        <f>IF(OR(C138="PURCHASE",C138="OPENING"),G138*IF(F138="CARTON",_xlfn.XLOOKUP(D138,'ITEM MASTER'!$A:$A,'ITEM MASTER'!$H:$H,1),1),0)</f>
        <v>0</v>
      </c>
      <c r="J138">
        <f>IF(C138="SALE",G138*IF(F138="CARTON",_xlfn.XLOOKUP(D138,'ITEM MASTER'!$A:$A,'ITEM MASTER'!$H:$H,1),1),0)</f>
        <v>0</v>
      </c>
      <c r="K138">
        <f>SUMIFS($I$2:I138,$D$2:D138,D138)-SUMIFS($J$2:J138,$D$2:D138,D138)</f>
        <v>0</v>
      </c>
    </row>
    <row r="139" spans="5:11" x14ac:dyDescent="0.3">
      <c r="E139">
        <f>IFERROR(_xlfn.XLOOKUP(D139,'ITEM MASTER'!$A:$A,'ITEM MASTER'!$B:$B,""),"")</f>
        <v>0</v>
      </c>
      <c r="F139" t="s">
        <v>44</v>
      </c>
      <c r="H139">
        <f>IFERROR(_xlfn.XLOOKUP(D139,'ITEM MASTER'!$A:$A,'ITEM MASTER'!$I:$I,"")*IF(F139="CARTON",_xlfn.XLOOKUP(D139,'ITEM MASTER'!$A:$A,'ITEM MASTER'!$H:$H,1),1),"")</f>
        <v>0</v>
      </c>
      <c r="I139">
        <f>IF(OR(C139="PURCHASE",C139="OPENING"),G139*IF(F139="CARTON",_xlfn.XLOOKUP(D139,'ITEM MASTER'!$A:$A,'ITEM MASTER'!$H:$H,1),1),0)</f>
        <v>0</v>
      </c>
      <c r="J139">
        <f>IF(C139="SALE",G139*IF(F139="CARTON",_xlfn.XLOOKUP(D139,'ITEM MASTER'!$A:$A,'ITEM MASTER'!$H:$H,1),1),0)</f>
        <v>0</v>
      </c>
      <c r="K139">
        <f>SUMIFS($I$2:I139,$D$2:D139,D139)-SUMIFS($J$2:J139,$D$2:D139,D139)</f>
        <v>0</v>
      </c>
    </row>
    <row r="140" spans="5:11" x14ac:dyDescent="0.3">
      <c r="E140">
        <f>IFERROR(_xlfn.XLOOKUP(D140,'ITEM MASTER'!$A:$A,'ITEM MASTER'!$B:$B,""),"")</f>
        <v>0</v>
      </c>
      <c r="F140" t="s">
        <v>44</v>
      </c>
      <c r="H140">
        <f>IFERROR(_xlfn.XLOOKUP(D140,'ITEM MASTER'!$A:$A,'ITEM MASTER'!$I:$I,"")*IF(F140="CARTON",_xlfn.XLOOKUP(D140,'ITEM MASTER'!$A:$A,'ITEM MASTER'!$H:$H,1),1),"")</f>
        <v>0</v>
      </c>
      <c r="I140">
        <f>IF(OR(C140="PURCHASE",C140="OPENING"),G140*IF(F140="CARTON",_xlfn.XLOOKUP(D140,'ITEM MASTER'!$A:$A,'ITEM MASTER'!$H:$H,1),1),0)</f>
        <v>0</v>
      </c>
      <c r="J140">
        <f>IF(C140="SALE",G140*IF(F140="CARTON",_xlfn.XLOOKUP(D140,'ITEM MASTER'!$A:$A,'ITEM MASTER'!$H:$H,1),1),0)</f>
        <v>0</v>
      </c>
      <c r="K140">
        <f>SUMIFS($I$2:I140,$D$2:D140,D140)-SUMIFS($J$2:J140,$D$2:D140,D140)</f>
        <v>0</v>
      </c>
    </row>
    <row r="141" spans="5:11" x14ac:dyDescent="0.3">
      <c r="E141">
        <f>IFERROR(_xlfn.XLOOKUP(D141,'ITEM MASTER'!$A:$A,'ITEM MASTER'!$B:$B,""),"")</f>
        <v>0</v>
      </c>
      <c r="F141" t="s">
        <v>44</v>
      </c>
      <c r="H141">
        <f>IFERROR(_xlfn.XLOOKUP(D141,'ITEM MASTER'!$A:$A,'ITEM MASTER'!$I:$I,"")*IF(F141="CARTON",_xlfn.XLOOKUP(D141,'ITEM MASTER'!$A:$A,'ITEM MASTER'!$H:$H,1),1),"")</f>
        <v>0</v>
      </c>
      <c r="I141">
        <f>IF(OR(C141="PURCHASE",C141="OPENING"),G141*IF(F141="CARTON",_xlfn.XLOOKUP(D141,'ITEM MASTER'!$A:$A,'ITEM MASTER'!$H:$H,1),1),0)</f>
        <v>0</v>
      </c>
      <c r="J141">
        <f>IF(C141="SALE",G141*IF(F141="CARTON",_xlfn.XLOOKUP(D141,'ITEM MASTER'!$A:$A,'ITEM MASTER'!$H:$H,1),1),0)</f>
        <v>0</v>
      </c>
      <c r="K141">
        <f>SUMIFS($I$2:I141,$D$2:D141,D141)-SUMIFS($J$2:J141,$D$2:D141,D141)</f>
        <v>0</v>
      </c>
    </row>
    <row r="142" spans="5:11" x14ac:dyDescent="0.3">
      <c r="E142">
        <f>IFERROR(_xlfn.XLOOKUP(D142,'ITEM MASTER'!$A:$A,'ITEM MASTER'!$B:$B,""),"")</f>
        <v>0</v>
      </c>
      <c r="F142" t="s">
        <v>44</v>
      </c>
      <c r="H142">
        <f>IFERROR(_xlfn.XLOOKUP(D142,'ITEM MASTER'!$A:$A,'ITEM MASTER'!$I:$I,"")*IF(F142="CARTON",_xlfn.XLOOKUP(D142,'ITEM MASTER'!$A:$A,'ITEM MASTER'!$H:$H,1),1),"")</f>
        <v>0</v>
      </c>
      <c r="I142">
        <f>IF(OR(C142="PURCHASE",C142="OPENING"),G142*IF(F142="CARTON",_xlfn.XLOOKUP(D142,'ITEM MASTER'!$A:$A,'ITEM MASTER'!$H:$H,1),1),0)</f>
        <v>0</v>
      </c>
      <c r="J142">
        <f>IF(C142="SALE",G142*IF(F142="CARTON",_xlfn.XLOOKUP(D142,'ITEM MASTER'!$A:$A,'ITEM MASTER'!$H:$H,1),1),0)</f>
        <v>0</v>
      </c>
      <c r="K142">
        <f>SUMIFS($I$2:I142,$D$2:D142,D142)-SUMIFS($J$2:J142,$D$2:D142,D142)</f>
        <v>0</v>
      </c>
    </row>
    <row r="143" spans="5:11" x14ac:dyDescent="0.3">
      <c r="E143">
        <f>IFERROR(_xlfn.XLOOKUP(D143,'ITEM MASTER'!$A:$A,'ITEM MASTER'!$B:$B,""),"")</f>
        <v>0</v>
      </c>
      <c r="F143" t="s">
        <v>44</v>
      </c>
      <c r="H143">
        <f>IFERROR(_xlfn.XLOOKUP(D143,'ITEM MASTER'!$A:$A,'ITEM MASTER'!$I:$I,"")*IF(F143="CARTON",_xlfn.XLOOKUP(D143,'ITEM MASTER'!$A:$A,'ITEM MASTER'!$H:$H,1),1),"")</f>
        <v>0</v>
      </c>
      <c r="I143">
        <f>IF(OR(C143="PURCHASE",C143="OPENING"),G143*IF(F143="CARTON",_xlfn.XLOOKUP(D143,'ITEM MASTER'!$A:$A,'ITEM MASTER'!$H:$H,1),1),0)</f>
        <v>0</v>
      </c>
      <c r="J143">
        <f>IF(C143="SALE",G143*IF(F143="CARTON",_xlfn.XLOOKUP(D143,'ITEM MASTER'!$A:$A,'ITEM MASTER'!$H:$H,1),1),0)</f>
        <v>0</v>
      </c>
      <c r="K143">
        <f>SUMIFS($I$2:I143,$D$2:D143,D143)-SUMIFS($J$2:J143,$D$2:D143,D143)</f>
        <v>0</v>
      </c>
    </row>
    <row r="144" spans="5:11" x14ac:dyDescent="0.3">
      <c r="E144">
        <f>IFERROR(_xlfn.XLOOKUP(D144,'ITEM MASTER'!$A:$A,'ITEM MASTER'!$B:$B,""),"")</f>
        <v>0</v>
      </c>
      <c r="F144" t="s">
        <v>44</v>
      </c>
      <c r="H144">
        <f>IFERROR(_xlfn.XLOOKUP(D144,'ITEM MASTER'!$A:$A,'ITEM MASTER'!$I:$I,"")*IF(F144="CARTON",_xlfn.XLOOKUP(D144,'ITEM MASTER'!$A:$A,'ITEM MASTER'!$H:$H,1),1),"")</f>
        <v>0</v>
      </c>
      <c r="I144">
        <f>IF(OR(C144="PURCHASE",C144="OPENING"),G144*IF(F144="CARTON",_xlfn.XLOOKUP(D144,'ITEM MASTER'!$A:$A,'ITEM MASTER'!$H:$H,1),1),0)</f>
        <v>0</v>
      </c>
      <c r="J144">
        <f>IF(C144="SALE",G144*IF(F144="CARTON",_xlfn.XLOOKUP(D144,'ITEM MASTER'!$A:$A,'ITEM MASTER'!$H:$H,1),1),0)</f>
        <v>0</v>
      </c>
      <c r="K144">
        <f>SUMIFS($I$2:I144,$D$2:D144,D144)-SUMIFS($J$2:J144,$D$2:D144,D144)</f>
        <v>0</v>
      </c>
    </row>
    <row r="145" spans="5:11" x14ac:dyDescent="0.3">
      <c r="E145">
        <f>IFERROR(_xlfn.XLOOKUP(D145,'ITEM MASTER'!$A:$A,'ITEM MASTER'!$B:$B,""),"")</f>
        <v>0</v>
      </c>
      <c r="F145" t="s">
        <v>44</v>
      </c>
      <c r="H145">
        <f>IFERROR(_xlfn.XLOOKUP(D145,'ITEM MASTER'!$A:$A,'ITEM MASTER'!$I:$I,"")*IF(F145="CARTON",_xlfn.XLOOKUP(D145,'ITEM MASTER'!$A:$A,'ITEM MASTER'!$H:$H,1),1),"")</f>
        <v>0</v>
      </c>
      <c r="I145">
        <f>IF(OR(C145="PURCHASE",C145="OPENING"),G145*IF(F145="CARTON",_xlfn.XLOOKUP(D145,'ITEM MASTER'!$A:$A,'ITEM MASTER'!$H:$H,1),1),0)</f>
        <v>0</v>
      </c>
      <c r="J145">
        <f>IF(C145="SALE",G145*IF(F145="CARTON",_xlfn.XLOOKUP(D145,'ITEM MASTER'!$A:$A,'ITEM MASTER'!$H:$H,1),1),0)</f>
        <v>0</v>
      </c>
      <c r="K145">
        <f>SUMIFS($I$2:I145,$D$2:D145,D145)-SUMIFS($J$2:J145,$D$2:D145,D145)</f>
        <v>0</v>
      </c>
    </row>
    <row r="146" spans="5:11" x14ac:dyDescent="0.3">
      <c r="E146">
        <f>IFERROR(_xlfn.XLOOKUP(D146,'ITEM MASTER'!$A:$A,'ITEM MASTER'!$B:$B,""),"")</f>
        <v>0</v>
      </c>
      <c r="F146" t="s">
        <v>44</v>
      </c>
      <c r="H146">
        <f>IFERROR(_xlfn.XLOOKUP(D146,'ITEM MASTER'!$A:$A,'ITEM MASTER'!$I:$I,"")*IF(F146="CARTON",_xlfn.XLOOKUP(D146,'ITEM MASTER'!$A:$A,'ITEM MASTER'!$H:$H,1),1),"")</f>
        <v>0</v>
      </c>
      <c r="I146">
        <f>IF(OR(C146="PURCHASE",C146="OPENING"),G146*IF(F146="CARTON",_xlfn.XLOOKUP(D146,'ITEM MASTER'!$A:$A,'ITEM MASTER'!$H:$H,1),1),0)</f>
        <v>0</v>
      </c>
      <c r="J146">
        <f>IF(C146="SALE",G146*IF(F146="CARTON",_xlfn.XLOOKUP(D146,'ITEM MASTER'!$A:$A,'ITEM MASTER'!$H:$H,1),1),0)</f>
        <v>0</v>
      </c>
      <c r="K146">
        <f>SUMIFS($I$2:I146,$D$2:D146,D146)-SUMIFS($J$2:J146,$D$2:D146,D146)</f>
        <v>0</v>
      </c>
    </row>
    <row r="147" spans="5:11" x14ac:dyDescent="0.3">
      <c r="E147">
        <f>IFERROR(_xlfn.XLOOKUP(D147,'ITEM MASTER'!$A:$A,'ITEM MASTER'!$B:$B,""),"")</f>
        <v>0</v>
      </c>
      <c r="F147" t="s">
        <v>44</v>
      </c>
      <c r="H147">
        <f>IFERROR(_xlfn.XLOOKUP(D147,'ITEM MASTER'!$A:$A,'ITEM MASTER'!$I:$I,"")*IF(F147="CARTON",_xlfn.XLOOKUP(D147,'ITEM MASTER'!$A:$A,'ITEM MASTER'!$H:$H,1),1),"")</f>
        <v>0</v>
      </c>
      <c r="I147">
        <f>IF(OR(C147="PURCHASE",C147="OPENING"),G147*IF(F147="CARTON",_xlfn.XLOOKUP(D147,'ITEM MASTER'!$A:$A,'ITEM MASTER'!$H:$H,1),1),0)</f>
        <v>0</v>
      </c>
      <c r="J147">
        <f>IF(C147="SALE",G147*IF(F147="CARTON",_xlfn.XLOOKUP(D147,'ITEM MASTER'!$A:$A,'ITEM MASTER'!$H:$H,1),1),0)</f>
        <v>0</v>
      </c>
      <c r="K147">
        <f>SUMIFS($I$2:I147,$D$2:D147,D147)-SUMIFS($J$2:J147,$D$2:D147,D147)</f>
        <v>0</v>
      </c>
    </row>
    <row r="148" spans="5:11" x14ac:dyDescent="0.3">
      <c r="E148">
        <f>IFERROR(_xlfn.XLOOKUP(D148,'ITEM MASTER'!$A:$A,'ITEM MASTER'!$B:$B,""),"")</f>
        <v>0</v>
      </c>
      <c r="F148" t="s">
        <v>44</v>
      </c>
      <c r="H148">
        <f>IFERROR(_xlfn.XLOOKUP(D148,'ITEM MASTER'!$A:$A,'ITEM MASTER'!$I:$I,"")*IF(F148="CARTON",_xlfn.XLOOKUP(D148,'ITEM MASTER'!$A:$A,'ITEM MASTER'!$H:$H,1),1),"")</f>
        <v>0</v>
      </c>
      <c r="I148">
        <f>IF(OR(C148="PURCHASE",C148="OPENING"),G148*IF(F148="CARTON",_xlfn.XLOOKUP(D148,'ITEM MASTER'!$A:$A,'ITEM MASTER'!$H:$H,1),1),0)</f>
        <v>0</v>
      </c>
      <c r="J148">
        <f>IF(C148="SALE",G148*IF(F148="CARTON",_xlfn.XLOOKUP(D148,'ITEM MASTER'!$A:$A,'ITEM MASTER'!$H:$H,1),1),0)</f>
        <v>0</v>
      </c>
      <c r="K148">
        <f>SUMIFS($I$2:I148,$D$2:D148,D148)-SUMIFS($J$2:J148,$D$2:D148,D148)</f>
        <v>0</v>
      </c>
    </row>
    <row r="149" spans="5:11" x14ac:dyDescent="0.3">
      <c r="E149">
        <f>IFERROR(_xlfn.XLOOKUP(D149,'ITEM MASTER'!$A:$A,'ITEM MASTER'!$B:$B,""),"")</f>
        <v>0</v>
      </c>
      <c r="F149" t="s">
        <v>44</v>
      </c>
      <c r="H149">
        <f>IFERROR(_xlfn.XLOOKUP(D149,'ITEM MASTER'!$A:$A,'ITEM MASTER'!$I:$I,"")*IF(F149="CARTON",_xlfn.XLOOKUP(D149,'ITEM MASTER'!$A:$A,'ITEM MASTER'!$H:$H,1),1),"")</f>
        <v>0</v>
      </c>
      <c r="I149">
        <f>IF(OR(C149="PURCHASE",C149="OPENING"),G149*IF(F149="CARTON",_xlfn.XLOOKUP(D149,'ITEM MASTER'!$A:$A,'ITEM MASTER'!$H:$H,1),1),0)</f>
        <v>0</v>
      </c>
      <c r="J149">
        <f>IF(C149="SALE",G149*IF(F149="CARTON",_xlfn.XLOOKUP(D149,'ITEM MASTER'!$A:$A,'ITEM MASTER'!$H:$H,1),1),0)</f>
        <v>0</v>
      </c>
      <c r="K149">
        <f>SUMIFS($I$2:I149,$D$2:D149,D149)-SUMIFS($J$2:J149,$D$2:D149,D149)</f>
        <v>0</v>
      </c>
    </row>
    <row r="150" spans="5:11" x14ac:dyDescent="0.3">
      <c r="E150">
        <f>IFERROR(_xlfn.XLOOKUP(D150,'ITEM MASTER'!$A:$A,'ITEM MASTER'!$B:$B,""),"")</f>
        <v>0</v>
      </c>
      <c r="F150" t="s">
        <v>44</v>
      </c>
      <c r="H150">
        <f>IFERROR(_xlfn.XLOOKUP(D150,'ITEM MASTER'!$A:$A,'ITEM MASTER'!$I:$I,"")*IF(F150="CARTON",_xlfn.XLOOKUP(D150,'ITEM MASTER'!$A:$A,'ITEM MASTER'!$H:$H,1),1),"")</f>
        <v>0</v>
      </c>
      <c r="I150">
        <f>IF(OR(C150="PURCHASE",C150="OPENING"),G150*IF(F150="CARTON",_xlfn.XLOOKUP(D150,'ITEM MASTER'!$A:$A,'ITEM MASTER'!$H:$H,1),1),0)</f>
        <v>0</v>
      </c>
      <c r="J150">
        <f>IF(C150="SALE",G150*IF(F150="CARTON",_xlfn.XLOOKUP(D150,'ITEM MASTER'!$A:$A,'ITEM MASTER'!$H:$H,1),1),0)</f>
        <v>0</v>
      </c>
      <c r="K150">
        <f>SUMIFS($I$2:I150,$D$2:D150,D150)-SUMIFS($J$2:J150,$D$2:D150,D150)</f>
        <v>0</v>
      </c>
    </row>
    <row r="151" spans="5:11" x14ac:dyDescent="0.3">
      <c r="E151">
        <f>IFERROR(_xlfn.XLOOKUP(D151,'ITEM MASTER'!$A:$A,'ITEM MASTER'!$B:$B,""),"")</f>
        <v>0</v>
      </c>
      <c r="F151" t="s">
        <v>44</v>
      </c>
      <c r="H151">
        <f>IFERROR(_xlfn.XLOOKUP(D151,'ITEM MASTER'!$A:$A,'ITEM MASTER'!$I:$I,"")*IF(F151="CARTON",_xlfn.XLOOKUP(D151,'ITEM MASTER'!$A:$A,'ITEM MASTER'!$H:$H,1),1),"")</f>
        <v>0</v>
      </c>
      <c r="I151">
        <f>IF(OR(C151="PURCHASE",C151="OPENING"),G151*IF(F151="CARTON",_xlfn.XLOOKUP(D151,'ITEM MASTER'!$A:$A,'ITEM MASTER'!$H:$H,1),1),0)</f>
        <v>0</v>
      </c>
      <c r="J151">
        <f>IF(C151="SALE",G151*IF(F151="CARTON",_xlfn.XLOOKUP(D151,'ITEM MASTER'!$A:$A,'ITEM MASTER'!$H:$H,1),1),0)</f>
        <v>0</v>
      </c>
      <c r="K151">
        <f>SUMIFS($I$2:I151,$D$2:D151,D151)-SUMIFS($J$2:J151,$D$2:D151,D151)</f>
        <v>0</v>
      </c>
    </row>
    <row r="152" spans="5:11" x14ac:dyDescent="0.3">
      <c r="E152">
        <f>IFERROR(_xlfn.XLOOKUP(D152,'ITEM MASTER'!$A:$A,'ITEM MASTER'!$B:$B,""),"")</f>
        <v>0</v>
      </c>
      <c r="F152" t="s">
        <v>44</v>
      </c>
      <c r="H152">
        <f>IFERROR(_xlfn.XLOOKUP(D152,'ITEM MASTER'!$A:$A,'ITEM MASTER'!$I:$I,"")*IF(F152="CARTON",_xlfn.XLOOKUP(D152,'ITEM MASTER'!$A:$A,'ITEM MASTER'!$H:$H,1),1),"")</f>
        <v>0</v>
      </c>
      <c r="I152">
        <f>IF(OR(C152="PURCHASE",C152="OPENING"),G152*IF(F152="CARTON",_xlfn.XLOOKUP(D152,'ITEM MASTER'!$A:$A,'ITEM MASTER'!$H:$H,1),1),0)</f>
        <v>0</v>
      </c>
      <c r="J152">
        <f>IF(C152="SALE",G152*IF(F152="CARTON",_xlfn.XLOOKUP(D152,'ITEM MASTER'!$A:$A,'ITEM MASTER'!$H:$H,1),1),0)</f>
        <v>0</v>
      </c>
      <c r="K152">
        <f>SUMIFS($I$2:I152,$D$2:D152,D152)-SUMIFS($J$2:J152,$D$2:D152,D152)</f>
        <v>0</v>
      </c>
    </row>
    <row r="153" spans="5:11" x14ac:dyDescent="0.3">
      <c r="E153">
        <f>IFERROR(_xlfn.XLOOKUP(D153,'ITEM MASTER'!$A:$A,'ITEM MASTER'!$B:$B,""),"")</f>
        <v>0</v>
      </c>
      <c r="F153" t="s">
        <v>44</v>
      </c>
      <c r="H153">
        <f>IFERROR(_xlfn.XLOOKUP(D153,'ITEM MASTER'!$A:$A,'ITEM MASTER'!$I:$I,"")*IF(F153="CARTON",_xlfn.XLOOKUP(D153,'ITEM MASTER'!$A:$A,'ITEM MASTER'!$H:$H,1),1),"")</f>
        <v>0</v>
      </c>
      <c r="I153">
        <f>IF(OR(C153="PURCHASE",C153="OPENING"),G153*IF(F153="CARTON",_xlfn.XLOOKUP(D153,'ITEM MASTER'!$A:$A,'ITEM MASTER'!$H:$H,1),1),0)</f>
        <v>0</v>
      </c>
      <c r="J153">
        <f>IF(C153="SALE",G153*IF(F153="CARTON",_xlfn.XLOOKUP(D153,'ITEM MASTER'!$A:$A,'ITEM MASTER'!$H:$H,1),1),0)</f>
        <v>0</v>
      </c>
      <c r="K153">
        <f>SUMIFS($I$2:I153,$D$2:D153,D153)-SUMIFS($J$2:J153,$D$2:D153,D153)</f>
        <v>0</v>
      </c>
    </row>
    <row r="154" spans="5:11" x14ac:dyDescent="0.3">
      <c r="E154">
        <f>IFERROR(_xlfn.XLOOKUP(D154,'ITEM MASTER'!$A:$A,'ITEM MASTER'!$B:$B,""),"")</f>
        <v>0</v>
      </c>
      <c r="F154" t="s">
        <v>44</v>
      </c>
      <c r="H154">
        <f>IFERROR(_xlfn.XLOOKUP(D154,'ITEM MASTER'!$A:$A,'ITEM MASTER'!$I:$I,"")*IF(F154="CARTON",_xlfn.XLOOKUP(D154,'ITEM MASTER'!$A:$A,'ITEM MASTER'!$H:$H,1),1),"")</f>
        <v>0</v>
      </c>
      <c r="I154">
        <f>IF(OR(C154="PURCHASE",C154="OPENING"),G154*IF(F154="CARTON",_xlfn.XLOOKUP(D154,'ITEM MASTER'!$A:$A,'ITEM MASTER'!$H:$H,1),1),0)</f>
        <v>0</v>
      </c>
      <c r="J154">
        <f>IF(C154="SALE",G154*IF(F154="CARTON",_xlfn.XLOOKUP(D154,'ITEM MASTER'!$A:$A,'ITEM MASTER'!$H:$H,1),1),0)</f>
        <v>0</v>
      </c>
      <c r="K154">
        <f>SUMIFS($I$2:I154,$D$2:D154,D154)-SUMIFS($J$2:J154,$D$2:D154,D154)</f>
        <v>0</v>
      </c>
    </row>
    <row r="155" spans="5:11" x14ac:dyDescent="0.3">
      <c r="E155">
        <f>IFERROR(_xlfn.XLOOKUP(D155,'ITEM MASTER'!$A:$A,'ITEM MASTER'!$B:$B,""),"")</f>
        <v>0</v>
      </c>
      <c r="F155" t="s">
        <v>44</v>
      </c>
      <c r="H155">
        <f>IFERROR(_xlfn.XLOOKUP(D155,'ITEM MASTER'!$A:$A,'ITEM MASTER'!$I:$I,"")*IF(F155="CARTON",_xlfn.XLOOKUP(D155,'ITEM MASTER'!$A:$A,'ITEM MASTER'!$H:$H,1),1),"")</f>
        <v>0</v>
      </c>
      <c r="I155">
        <f>IF(OR(C155="PURCHASE",C155="OPENING"),G155*IF(F155="CARTON",_xlfn.XLOOKUP(D155,'ITEM MASTER'!$A:$A,'ITEM MASTER'!$H:$H,1),1),0)</f>
        <v>0</v>
      </c>
      <c r="J155">
        <f>IF(C155="SALE",G155*IF(F155="CARTON",_xlfn.XLOOKUP(D155,'ITEM MASTER'!$A:$A,'ITEM MASTER'!$H:$H,1),1),0)</f>
        <v>0</v>
      </c>
      <c r="K155">
        <f>SUMIFS($I$2:I155,$D$2:D155,D155)-SUMIFS($J$2:J155,$D$2:D155,D155)</f>
        <v>0</v>
      </c>
    </row>
    <row r="156" spans="5:11" x14ac:dyDescent="0.3">
      <c r="E156">
        <f>IFERROR(_xlfn.XLOOKUP(D156,'ITEM MASTER'!$A:$A,'ITEM MASTER'!$B:$B,""),"")</f>
        <v>0</v>
      </c>
      <c r="F156" t="s">
        <v>44</v>
      </c>
      <c r="H156">
        <f>IFERROR(_xlfn.XLOOKUP(D156,'ITEM MASTER'!$A:$A,'ITEM MASTER'!$I:$I,"")*IF(F156="CARTON",_xlfn.XLOOKUP(D156,'ITEM MASTER'!$A:$A,'ITEM MASTER'!$H:$H,1),1),"")</f>
        <v>0</v>
      </c>
      <c r="I156">
        <f>IF(OR(C156="PURCHASE",C156="OPENING"),G156*IF(F156="CARTON",_xlfn.XLOOKUP(D156,'ITEM MASTER'!$A:$A,'ITEM MASTER'!$H:$H,1),1),0)</f>
        <v>0</v>
      </c>
      <c r="J156">
        <f>IF(C156="SALE",G156*IF(F156="CARTON",_xlfn.XLOOKUP(D156,'ITEM MASTER'!$A:$A,'ITEM MASTER'!$H:$H,1),1),0)</f>
        <v>0</v>
      </c>
      <c r="K156">
        <f>SUMIFS($I$2:I156,$D$2:D156,D156)-SUMIFS($J$2:J156,$D$2:D156,D156)</f>
        <v>0</v>
      </c>
    </row>
    <row r="157" spans="5:11" x14ac:dyDescent="0.3">
      <c r="E157">
        <f>IFERROR(_xlfn.XLOOKUP(D157,'ITEM MASTER'!$A:$A,'ITEM MASTER'!$B:$B,""),"")</f>
        <v>0</v>
      </c>
      <c r="F157" t="s">
        <v>44</v>
      </c>
      <c r="H157">
        <f>IFERROR(_xlfn.XLOOKUP(D157,'ITEM MASTER'!$A:$A,'ITEM MASTER'!$I:$I,"")*IF(F157="CARTON",_xlfn.XLOOKUP(D157,'ITEM MASTER'!$A:$A,'ITEM MASTER'!$H:$H,1),1),"")</f>
        <v>0</v>
      </c>
      <c r="I157">
        <f>IF(OR(C157="PURCHASE",C157="OPENING"),G157*IF(F157="CARTON",_xlfn.XLOOKUP(D157,'ITEM MASTER'!$A:$A,'ITEM MASTER'!$H:$H,1),1),0)</f>
        <v>0</v>
      </c>
      <c r="J157">
        <f>IF(C157="SALE",G157*IF(F157="CARTON",_xlfn.XLOOKUP(D157,'ITEM MASTER'!$A:$A,'ITEM MASTER'!$H:$H,1),1),0)</f>
        <v>0</v>
      </c>
      <c r="K157">
        <f>SUMIFS($I$2:I157,$D$2:D157,D157)-SUMIFS($J$2:J157,$D$2:D157,D157)</f>
        <v>0</v>
      </c>
    </row>
    <row r="158" spans="5:11" x14ac:dyDescent="0.3">
      <c r="E158">
        <f>IFERROR(_xlfn.XLOOKUP(D158,'ITEM MASTER'!$A:$A,'ITEM MASTER'!$B:$B,""),"")</f>
        <v>0</v>
      </c>
      <c r="F158" t="s">
        <v>44</v>
      </c>
      <c r="H158">
        <f>IFERROR(_xlfn.XLOOKUP(D158,'ITEM MASTER'!$A:$A,'ITEM MASTER'!$I:$I,"")*IF(F158="CARTON",_xlfn.XLOOKUP(D158,'ITEM MASTER'!$A:$A,'ITEM MASTER'!$H:$H,1),1),"")</f>
        <v>0</v>
      </c>
      <c r="I158">
        <f>IF(OR(C158="PURCHASE",C158="OPENING"),G158*IF(F158="CARTON",_xlfn.XLOOKUP(D158,'ITEM MASTER'!$A:$A,'ITEM MASTER'!$H:$H,1),1),0)</f>
        <v>0</v>
      </c>
      <c r="J158">
        <f>IF(C158="SALE",G158*IF(F158="CARTON",_xlfn.XLOOKUP(D158,'ITEM MASTER'!$A:$A,'ITEM MASTER'!$H:$H,1),1),0)</f>
        <v>0</v>
      </c>
      <c r="K158">
        <f>SUMIFS($I$2:I158,$D$2:D158,D158)-SUMIFS($J$2:J158,$D$2:D158,D158)</f>
        <v>0</v>
      </c>
    </row>
    <row r="159" spans="5:11" x14ac:dyDescent="0.3">
      <c r="E159">
        <f>IFERROR(_xlfn.XLOOKUP(D159,'ITEM MASTER'!$A:$A,'ITEM MASTER'!$B:$B,""),"")</f>
        <v>0</v>
      </c>
      <c r="F159" t="s">
        <v>44</v>
      </c>
      <c r="H159">
        <f>IFERROR(_xlfn.XLOOKUP(D159,'ITEM MASTER'!$A:$A,'ITEM MASTER'!$I:$I,"")*IF(F159="CARTON",_xlfn.XLOOKUP(D159,'ITEM MASTER'!$A:$A,'ITEM MASTER'!$H:$H,1),1),"")</f>
        <v>0</v>
      </c>
      <c r="I159">
        <f>IF(OR(C159="PURCHASE",C159="OPENING"),G159*IF(F159="CARTON",_xlfn.XLOOKUP(D159,'ITEM MASTER'!$A:$A,'ITEM MASTER'!$H:$H,1),1),0)</f>
        <v>0</v>
      </c>
      <c r="J159">
        <f>IF(C159="SALE",G159*IF(F159="CARTON",_xlfn.XLOOKUP(D159,'ITEM MASTER'!$A:$A,'ITEM MASTER'!$H:$H,1),1),0)</f>
        <v>0</v>
      </c>
      <c r="K159">
        <f>SUMIFS($I$2:I159,$D$2:D159,D159)-SUMIFS($J$2:J159,$D$2:D159,D159)</f>
        <v>0</v>
      </c>
    </row>
    <row r="160" spans="5:11" x14ac:dyDescent="0.3">
      <c r="E160">
        <f>IFERROR(_xlfn.XLOOKUP(D160,'ITEM MASTER'!$A:$A,'ITEM MASTER'!$B:$B,""),"")</f>
        <v>0</v>
      </c>
      <c r="F160" t="s">
        <v>44</v>
      </c>
      <c r="H160">
        <f>IFERROR(_xlfn.XLOOKUP(D160,'ITEM MASTER'!$A:$A,'ITEM MASTER'!$I:$I,"")*IF(F160="CARTON",_xlfn.XLOOKUP(D160,'ITEM MASTER'!$A:$A,'ITEM MASTER'!$H:$H,1),1),"")</f>
        <v>0</v>
      </c>
      <c r="I160">
        <f>IF(OR(C160="PURCHASE",C160="OPENING"),G160*IF(F160="CARTON",_xlfn.XLOOKUP(D160,'ITEM MASTER'!$A:$A,'ITEM MASTER'!$H:$H,1),1),0)</f>
        <v>0</v>
      </c>
      <c r="J160">
        <f>IF(C160="SALE",G160*IF(F160="CARTON",_xlfn.XLOOKUP(D160,'ITEM MASTER'!$A:$A,'ITEM MASTER'!$H:$H,1),1),0)</f>
        <v>0</v>
      </c>
      <c r="K160">
        <f>SUMIFS($I$2:I160,$D$2:D160,D160)-SUMIFS($J$2:J160,$D$2:D160,D160)</f>
        <v>0</v>
      </c>
    </row>
    <row r="161" spans="5:11" x14ac:dyDescent="0.3">
      <c r="E161">
        <f>IFERROR(_xlfn.XLOOKUP(D161,'ITEM MASTER'!$A:$A,'ITEM MASTER'!$B:$B,""),"")</f>
        <v>0</v>
      </c>
      <c r="F161" t="s">
        <v>44</v>
      </c>
      <c r="H161">
        <f>IFERROR(_xlfn.XLOOKUP(D161,'ITEM MASTER'!$A:$A,'ITEM MASTER'!$I:$I,"")*IF(F161="CARTON",_xlfn.XLOOKUP(D161,'ITEM MASTER'!$A:$A,'ITEM MASTER'!$H:$H,1),1),"")</f>
        <v>0</v>
      </c>
      <c r="I161">
        <f>IF(OR(C161="PURCHASE",C161="OPENING"),G161*IF(F161="CARTON",_xlfn.XLOOKUP(D161,'ITEM MASTER'!$A:$A,'ITEM MASTER'!$H:$H,1),1),0)</f>
        <v>0</v>
      </c>
      <c r="J161">
        <f>IF(C161="SALE",G161*IF(F161="CARTON",_xlfn.XLOOKUP(D161,'ITEM MASTER'!$A:$A,'ITEM MASTER'!$H:$H,1),1),0)</f>
        <v>0</v>
      </c>
      <c r="K161">
        <f>SUMIFS($I$2:I161,$D$2:D161,D161)-SUMIFS($J$2:J161,$D$2:D161,D161)</f>
        <v>0</v>
      </c>
    </row>
    <row r="162" spans="5:11" x14ac:dyDescent="0.3">
      <c r="E162">
        <f>IFERROR(_xlfn.XLOOKUP(D162,'ITEM MASTER'!$A:$A,'ITEM MASTER'!$B:$B,""),"")</f>
        <v>0</v>
      </c>
      <c r="F162" t="s">
        <v>44</v>
      </c>
      <c r="H162">
        <f>IFERROR(_xlfn.XLOOKUP(D162,'ITEM MASTER'!$A:$A,'ITEM MASTER'!$I:$I,"")*IF(F162="CARTON",_xlfn.XLOOKUP(D162,'ITEM MASTER'!$A:$A,'ITEM MASTER'!$H:$H,1),1),"")</f>
        <v>0</v>
      </c>
      <c r="I162">
        <f>IF(OR(C162="PURCHASE",C162="OPENING"),G162*IF(F162="CARTON",_xlfn.XLOOKUP(D162,'ITEM MASTER'!$A:$A,'ITEM MASTER'!$H:$H,1),1),0)</f>
        <v>0</v>
      </c>
      <c r="J162">
        <f>IF(C162="SALE",G162*IF(F162="CARTON",_xlfn.XLOOKUP(D162,'ITEM MASTER'!$A:$A,'ITEM MASTER'!$H:$H,1),1),0)</f>
        <v>0</v>
      </c>
      <c r="K162">
        <f>SUMIFS($I$2:I162,$D$2:D162,D162)-SUMIFS($J$2:J162,$D$2:D162,D162)</f>
        <v>0</v>
      </c>
    </row>
    <row r="163" spans="5:11" x14ac:dyDescent="0.3">
      <c r="E163">
        <f>IFERROR(_xlfn.XLOOKUP(D163,'ITEM MASTER'!$A:$A,'ITEM MASTER'!$B:$B,""),"")</f>
        <v>0</v>
      </c>
      <c r="F163" t="s">
        <v>44</v>
      </c>
      <c r="H163">
        <f>IFERROR(_xlfn.XLOOKUP(D163,'ITEM MASTER'!$A:$A,'ITEM MASTER'!$I:$I,"")*IF(F163="CARTON",_xlfn.XLOOKUP(D163,'ITEM MASTER'!$A:$A,'ITEM MASTER'!$H:$H,1),1),"")</f>
        <v>0</v>
      </c>
      <c r="I163">
        <f>IF(OR(C163="PURCHASE",C163="OPENING"),G163*IF(F163="CARTON",_xlfn.XLOOKUP(D163,'ITEM MASTER'!$A:$A,'ITEM MASTER'!$H:$H,1),1),0)</f>
        <v>0</v>
      </c>
      <c r="J163">
        <f>IF(C163="SALE",G163*IF(F163="CARTON",_xlfn.XLOOKUP(D163,'ITEM MASTER'!$A:$A,'ITEM MASTER'!$H:$H,1),1),0)</f>
        <v>0</v>
      </c>
      <c r="K163">
        <f>SUMIFS($I$2:I163,$D$2:D163,D163)-SUMIFS($J$2:J163,$D$2:D163,D163)</f>
        <v>0</v>
      </c>
    </row>
    <row r="164" spans="5:11" x14ac:dyDescent="0.3">
      <c r="E164">
        <f>IFERROR(_xlfn.XLOOKUP(D164,'ITEM MASTER'!$A:$A,'ITEM MASTER'!$B:$B,""),"")</f>
        <v>0</v>
      </c>
      <c r="F164" t="s">
        <v>44</v>
      </c>
      <c r="H164">
        <f>IFERROR(_xlfn.XLOOKUP(D164,'ITEM MASTER'!$A:$A,'ITEM MASTER'!$I:$I,"")*IF(F164="CARTON",_xlfn.XLOOKUP(D164,'ITEM MASTER'!$A:$A,'ITEM MASTER'!$H:$H,1),1),"")</f>
        <v>0</v>
      </c>
      <c r="I164">
        <f>IF(OR(C164="PURCHASE",C164="OPENING"),G164*IF(F164="CARTON",_xlfn.XLOOKUP(D164,'ITEM MASTER'!$A:$A,'ITEM MASTER'!$H:$H,1),1),0)</f>
        <v>0</v>
      </c>
      <c r="J164">
        <f>IF(C164="SALE",G164*IF(F164="CARTON",_xlfn.XLOOKUP(D164,'ITEM MASTER'!$A:$A,'ITEM MASTER'!$H:$H,1),1),0)</f>
        <v>0</v>
      </c>
      <c r="K164">
        <f>SUMIFS($I$2:I164,$D$2:D164,D164)-SUMIFS($J$2:J164,$D$2:D164,D164)</f>
        <v>0</v>
      </c>
    </row>
    <row r="165" spans="5:11" x14ac:dyDescent="0.3">
      <c r="E165">
        <f>IFERROR(_xlfn.XLOOKUP(D165,'ITEM MASTER'!$A:$A,'ITEM MASTER'!$B:$B,""),"")</f>
        <v>0</v>
      </c>
      <c r="F165" t="s">
        <v>44</v>
      </c>
      <c r="H165">
        <f>IFERROR(_xlfn.XLOOKUP(D165,'ITEM MASTER'!$A:$A,'ITEM MASTER'!$I:$I,"")*IF(F165="CARTON",_xlfn.XLOOKUP(D165,'ITEM MASTER'!$A:$A,'ITEM MASTER'!$H:$H,1),1),"")</f>
        <v>0</v>
      </c>
      <c r="I165">
        <f>IF(OR(C165="PURCHASE",C165="OPENING"),G165*IF(F165="CARTON",_xlfn.XLOOKUP(D165,'ITEM MASTER'!$A:$A,'ITEM MASTER'!$H:$H,1),1),0)</f>
        <v>0</v>
      </c>
      <c r="J165">
        <f>IF(C165="SALE",G165*IF(F165="CARTON",_xlfn.XLOOKUP(D165,'ITEM MASTER'!$A:$A,'ITEM MASTER'!$H:$H,1),1),0)</f>
        <v>0</v>
      </c>
      <c r="K165">
        <f>SUMIFS($I$2:I165,$D$2:D165,D165)-SUMIFS($J$2:J165,$D$2:D165,D165)</f>
        <v>0</v>
      </c>
    </row>
    <row r="166" spans="5:11" x14ac:dyDescent="0.3">
      <c r="E166">
        <f>IFERROR(_xlfn.XLOOKUP(D166,'ITEM MASTER'!$A:$A,'ITEM MASTER'!$B:$B,""),"")</f>
        <v>0</v>
      </c>
      <c r="F166" t="s">
        <v>44</v>
      </c>
      <c r="H166">
        <f>IFERROR(_xlfn.XLOOKUP(D166,'ITEM MASTER'!$A:$A,'ITEM MASTER'!$I:$I,"")*IF(F166="CARTON",_xlfn.XLOOKUP(D166,'ITEM MASTER'!$A:$A,'ITEM MASTER'!$H:$H,1),1),"")</f>
        <v>0</v>
      </c>
      <c r="I166">
        <f>IF(OR(C166="PURCHASE",C166="OPENING"),G166*IF(F166="CARTON",_xlfn.XLOOKUP(D166,'ITEM MASTER'!$A:$A,'ITEM MASTER'!$H:$H,1),1),0)</f>
        <v>0</v>
      </c>
      <c r="J166">
        <f>IF(C166="SALE",G166*IF(F166="CARTON",_xlfn.XLOOKUP(D166,'ITEM MASTER'!$A:$A,'ITEM MASTER'!$H:$H,1),1),0)</f>
        <v>0</v>
      </c>
      <c r="K166">
        <f>SUMIFS($I$2:I166,$D$2:D166,D166)-SUMIFS($J$2:J166,$D$2:D166,D166)</f>
        <v>0</v>
      </c>
    </row>
    <row r="167" spans="5:11" x14ac:dyDescent="0.3">
      <c r="E167">
        <f>IFERROR(_xlfn.XLOOKUP(D167,'ITEM MASTER'!$A:$A,'ITEM MASTER'!$B:$B,""),"")</f>
        <v>0</v>
      </c>
      <c r="F167" t="s">
        <v>44</v>
      </c>
      <c r="H167">
        <f>IFERROR(_xlfn.XLOOKUP(D167,'ITEM MASTER'!$A:$A,'ITEM MASTER'!$I:$I,"")*IF(F167="CARTON",_xlfn.XLOOKUP(D167,'ITEM MASTER'!$A:$A,'ITEM MASTER'!$H:$H,1),1),"")</f>
        <v>0</v>
      </c>
      <c r="I167">
        <f>IF(OR(C167="PURCHASE",C167="OPENING"),G167*IF(F167="CARTON",_xlfn.XLOOKUP(D167,'ITEM MASTER'!$A:$A,'ITEM MASTER'!$H:$H,1),1),0)</f>
        <v>0</v>
      </c>
      <c r="J167">
        <f>IF(C167="SALE",G167*IF(F167="CARTON",_xlfn.XLOOKUP(D167,'ITEM MASTER'!$A:$A,'ITEM MASTER'!$H:$H,1),1),0)</f>
        <v>0</v>
      </c>
      <c r="K167">
        <f>SUMIFS($I$2:I167,$D$2:D167,D167)-SUMIFS($J$2:J167,$D$2:D167,D167)</f>
        <v>0</v>
      </c>
    </row>
    <row r="168" spans="5:11" x14ac:dyDescent="0.3">
      <c r="E168">
        <f>IFERROR(_xlfn.XLOOKUP(D168,'ITEM MASTER'!$A:$A,'ITEM MASTER'!$B:$B,""),"")</f>
        <v>0</v>
      </c>
      <c r="F168" t="s">
        <v>44</v>
      </c>
      <c r="H168">
        <f>IFERROR(_xlfn.XLOOKUP(D168,'ITEM MASTER'!$A:$A,'ITEM MASTER'!$I:$I,"")*IF(F168="CARTON",_xlfn.XLOOKUP(D168,'ITEM MASTER'!$A:$A,'ITEM MASTER'!$H:$H,1),1),"")</f>
        <v>0</v>
      </c>
      <c r="I168">
        <f>IF(OR(C168="PURCHASE",C168="OPENING"),G168*IF(F168="CARTON",_xlfn.XLOOKUP(D168,'ITEM MASTER'!$A:$A,'ITEM MASTER'!$H:$H,1),1),0)</f>
        <v>0</v>
      </c>
      <c r="J168">
        <f>IF(C168="SALE",G168*IF(F168="CARTON",_xlfn.XLOOKUP(D168,'ITEM MASTER'!$A:$A,'ITEM MASTER'!$H:$H,1),1),0)</f>
        <v>0</v>
      </c>
      <c r="K168">
        <f>SUMIFS($I$2:I168,$D$2:D168,D168)-SUMIFS($J$2:J168,$D$2:D168,D168)</f>
        <v>0</v>
      </c>
    </row>
    <row r="169" spans="5:11" x14ac:dyDescent="0.3">
      <c r="E169">
        <f>IFERROR(_xlfn.XLOOKUP(D169,'ITEM MASTER'!$A:$A,'ITEM MASTER'!$B:$B,""),"")</f>
        <v>0</v>
      </c>
      <c r="F169" t="s">
        <v>44</v>
      </c>
      <c r="H169">
        <f>IFERROR(_xlfn.XLOOKUP(D169,'ITEM MASTER'!$A:$A,'ITEM MASTER'!$I:$I,"")*IF(F169="CARTON",_xlfn.XLOOKUP(D169,'ITEM MASTER'!$A:$A,'ITEM MASTER'!$H:$H,1),1),"")</f>
        <v>0</v>
      </c>
      <c r="I169">
        <f>IF(OR(C169="PURCHASE",C169="OPENING"),G169*IF(F169="CARTON",_xlfn.XLOOKUP(D169,'ITEM MASTER'!$A:$A,'ITEM MASTER'!$H:$H,1),1),0)</f>
        <v>0</v>
      </c>
      <c r="J169">
        <f>IF(C169="SALE",G169*IF(F169="CARTON",_xlfn.XLOOKUP(D169,'ITEM MASTER'!$A:$A,'ITEM MASTER'!$H:$H,1),1),0)</f>
        <v>0</v>
      </c>
      <c r="K169">
        <f>SUMIFS($I$2:I169,$D$2:D169,D169)-SUMIFS($J$2:J169,$D$2:D169,D169)</f>
        <v>0</v>
      </c>
    </row>
    <row r="170" spans="5:11" x14ac:dyDescent="0.3">
      <c r="E170">
        <f>IFERROR(_xlfn.XLOOKUP(D170,'ITEM MASTER'!$A:$A,'ITEM MASTER'!$B:$B,""),"")</f>
        <v>0</v>
      </c>
      <c r="F170" t="s">
        <v>44</v>
      </c>
      <c r="H170">
        <f>IFERROR(_xlfn.XLOOKUP(D170,'ITEM MASTER'!$A:$A,'ITEM MASTER'!$I:$I,"")*IF(F170="CARTON",_xlfn.XLOOKUP(D170,'ITEM MASTER'!$A:$A,'ITEM MASTER'!$H:$H,1),1),"")</f>
        <v>0</v>
      </c>
      <c r="I170">
        <f>IF(OR(C170="PURCHASE",C170="OPENING"),G170*IF(F170="CARTON",_xlfn.XLOOKUP(D170,'ITEM MASTER'!$A:$A,'ITEM MASTER'!$H:$H,1),1),0)</f>
        <v>0</v>
      </c>
      <c r="J170">
        <f>IF(C170="SALE",G170*IF(F170="CARTON",_xlfn.XLOOKUP(D170,'ITEM MASTER'!$A:$A,'ITEM MASTER'!$H:$H,1),1),0)</f>
        <v>0</v>
      </c>
      <c r="K170">
        <f>SUMIFS($I$2:I170,$D$2:D170,D170)-SUMIFS($J$2:J170,$D$2:D170,D170)</f>
        <v>0</v>
      </c>
    </row>
    <row r="171" spans="5:11" x14ac:dyDescent="0.3">
      <c r="E171">
        <f>IFERROR(_xlfn.XLOOKUP(D171,'ITEM MASTER'!$A:$A,'ITEM MASTER'!$B:$B,""),"")</f>
        <v>0</v>
      </c>
      <c r="F171" t="s">
        <v>44</v>
      </c>
      <c r="H171">
        <f>IFERROR(_xlfn.XLOOKUP(D171,'ITEM MASTER'!$A:$A,'ITEM MASTER'!$I:$I,"")*IF(F171="CARTON",_xlfn.XLOOKUP(D171,'ITEM MASTER'!$A:$A,'ITEM MASTER'!$H:$H,1),1),"")</f>
        <v>0</v>
      </c>
      <c r="I171">
        <f>IF(OR(C171="PURCHASE",C171="OPENING"),G171*IF(F171="CARTON",_xlfn.XLOOKUP(D171,'ITEM MASTER'!$A:$A,'ITEM MASTER'!$H:$H,1),1),0)</f>
        <v>0</v>
      </c>
      <c r="J171">
        <f>IF(C171="SALE",G171*IF(F171="CARTON",_xlfn.XLOOKUP(D171,'ITEM MASTER'!$A:$A,'ITEM MASTER'!$H:$H,1),1),0)</f>
        <v>0</v>
      </c>
      <c r="K171">
        <f>SUMIFS($I$2:I171,$D$2:D171,D171)-SUMIFS($J$2:J171,$D$2:D171,D171)</f>
        <v>0</v>
      </c>
    </row>
    <row r="172" spans="5:11" x14ac:dyDescent="0.3">
      <c r="E172">
        <f>IFERROR(_xlfn.XLOOKUP(D172,'ITEM MASTER'!$A:$A,'ITEM MASTER'!$B:$B,""),"")</f>
        <v>0</v>
      </c>
      <c r="F172" t="s">
        <v>44</v>
      </c>
      <c r="H172">
        <f>IFERROR(_xlfn.XLOOKUP(D172,'ITEM MASTER'!$A:$A,'ITEM MASTER'!$I:$I,"")*IF(F172="CARTON",_xlfn.XLOOKUP(D172,'ITEM MASTER'!$A:$A,'ITEM MASTER'!$H:$H,1),1),"")</f>
        <v>0</v>
      </c>
      <c r="I172">
        <f>IF(OR(C172="PURCHASE",C172="OPENING"),G172*IF(F172="CARTON",_xlfn.XLOOKUP(D172,'ITEM MASTER'!$A:$A,'ITEM MASTER'!$H:$H,1),1),0)</f>
        <v>0</v>
      </c>
      <c r="J172">
        <f>IF(C172="SALE",G172*IF(F172="CARTON",_xlfn.XLOOKUP(D172,'ITEM MASTER'!$A:$A,'ITEM MASTER'!$H:$H,1),1),0)</f>
        <v>0</v>
      </c>
      <c r="K172">
        <f>SUMIFS($I$2:I172,$D$2:D172,D172)-SUMIFS($J$2:J172,$D$2:D172,D172)</f>
        <v>0</v>
      </c>
    </row>
    <row r="173" spans="5:11" x14ac:dyDescent="0.3">
      <c r="E173">
        <f>IFERROR(_xlfn.XLOOKUP(D173,'ITEM MASTER'!$A:$A,'ITEM MASTER'!$B:$B,""),"")</f>
        <v>0</v>
      </c>
      <c r="F173" t="s">
        <v>44</v>
      </c>
      <c r="H173">
        <f>IFERROR(_xlfn.XLOOKUP(D173,'ITEM MASTER'!$A:$A,'ITEM MASTER'!$I:$I,"")*IF(F173="CARTON",_xlfn.XLOOKUP(D173,'ITEM MASTER'!$A:$A,'ITEM MASTER'!$H:$H,1),1),"")</f>
        <v>0</v>
      </c>
      <c r="I173">
        <f>IF(OR(C173="PURCHASE",C173="OPENING"),G173*IF(F173="CARTON",_xlfn.XLOOKUP(D173,'ITEM MASTER'!$A:$A,'ITEM MASTER'!$H:$H,1),1),0)</f>
        <v>0</v>
      </c>
      <c r="J173">
        <f>IF(C173="SALE",G173*IF(F173="CARTON",_xlfn.XLOOKUP(D173,'ITEM MASTER'!$A:$A,'ITEM MASTER'!$H:$H,1),1),0)</f>
        <v>0</v>
      </c>
      <c r="K173">
        <f>SUMIFS($I$2:I173,$D$2:D173,D173)-SUMIFS($J$2:J173,$D$2:D173,D173)</f>
        <v>0</v>
      </c>
    </row>
    <row r="174" spans="5:11" x14ac:dyDescent="0.3">
      <c r="E174">
        <f>IFERROR(_xlfn.XLOOKUP(D174,'ITEM MASTER'!$A:$A,'ITEM MASTER'!$B:$B,""),"")</f>
        <v>0</v>
      </c>
      <c r="F174" t="s">
        <v>44</v>
      </c>
      <c r="H174">
        <f>IFERROR(_xlfn.XLOOKUP(D174,'ITEM MASTER'!$A:$A,'ITEM MASTER'!$I:$I,"")*IF(F174="CARTON",_xlfn.XLOOKUP(D174,'ITEM MASTER'!$A:$A,'ITEM MASTER'!$H:$H,1),1),"")</f>
        <v>0</v>
      </c>
      <c r="I174">
        <f>IF(OR(C174="PURCHASE",C174="OPENING"),G174*IF(F174="CARTON",_xlfn.XLOOKUP(D174,'ITEM MASTER'!$A:$A,'ITEM MASTER'!$H:$H,1),1),0)</f>
        <v>0</v>
      </c>
      <c r="J174">
        <f>IF(C174="SALE",G174*IF(F174="CARTON",_xlfn.XLOOKUP(D174,'ITEM MASTER'!$A:$A,'ITEM MASTER'!$H:$H,1),1),0)</f>
        <v>0</v>
      </c>
      <c r="K174">
        <f>SUMIFS($I$2:I174,$D$2:D174,D174)-SUMIFS($J$2:J174,$D$2:D174,D174)</f>
        <v>0</v>
      </c>
    </row>
    <row r="175" spans="5:11" x14ac:dyDescent="0.3">
      <c r="E175">
        <f>IFERROR(_xlfn.XLOOKUP(D175,'ITEM MASTER'!$A:$A,'ITEM MASTER'!$B:$B,""),"")</f>
        <v>0</v>
      </c>
      <c r="F175" t="s">
        <v>44</v>
      </c>
      <c r="H175">
        <f>IFERROR(_xlfn.XLOOKUP(D175,'ITEM MASTER'!$A:$A,'ITEM MASTER'!$I:$I,"")*IF(F175="CARTON",_xlfn.XLOOKUP(D175,'ITEM MASTER'!$A:$A,'ITEM MASTER'!$H:$H,1),1),"")</f>
        <v>0</v>
      </c>
      <c r="I175">
        <f>IF(OR(C175="PURCHASE",C175="OPENING"),G175*IF(F175="CARTON",_xlfn.XLOOKUP(D175,'ITEM MASTER'!$A:$A,'ITEM MASTER'!$H:$H,1),1),0)</f>
        <v>0</v>
      </c>
      <c r="J175">
        <f>IF(C175="SALE",G175*IF(F175="CARTON",_xlfn.XLOOKUP(D175,'ITEM MASTER'!$A:$A,'ITEM MASTER'!$H:$H,1),1),0)</f>
        <v>0</v>
      </c>
      <c r="K175">
        <f>SUMIFS($I$2:I175,$D$2:D175,D175)-SUMIFS($J$2:J175,$D$2:D175,D175)</f>
        <v>0</v>
      </c>
    </row>
    <row r="176" spans="5:11" x14ac:dyDescent="0.3">
      <c r="E176">
        <f>IFERROR(_xlfn.XLOOKUP(D176,'ITEM MASTER'!$A:$A,'ITEM MASTER'!$B:$B,""),"")</f>
        <v>0</v>
      </c>
      <c r="F176" t="s">
        <v>44</v>
      </c>
      <c r="H176">
        <f>IFERROR(_xlfn.XLOOKUP(D176,'ITEM MASTER'!$A:$A,'ITEM MASTER'!$I:$I,"")*IF(F176="CARTON",_xlfn.XLOOKUP(D176,'ITEM MASTER'!$A:$A,'ITEM MASTER'!$H:$H,1),1),"")</f>
        <v>0</v>
      </c>
      <c r="I176">
        <f>IF(OR(C176="PURCHASE",C176="OPENING"),G176*IF(F176="CARTON",_xlfn.XLOOKUP(D176,'ITEM MASTER'!$A:$A,'ITEM MASTER'!$H:$H,1),1),0)</f>
        <v>0</v>
      </c>
      <c r="J176">
        <f>IF(C176="SALE",G176*IF(F176="CARTON",_xlfn.XLOOKUP(D176,'ITEM MASTER'!$A:$A,'ITEM MASTER'!$H:$H,1),1),0)</f>
        <v>0</v>
      </c>
      <c r="K176">
        <f>SUMIFS($I$2:I176,$D$2:D176,D176)-SUMIFS($J$2:J176,$D$2:D176,D176)</f>
        <v>0</v>
      </c>
    </row>
    <row r="177" spans="5:11" x14ac:dyDescent="0.3">
      <c r="E177">
        <f>IFERROR(_xlfn.XLOOKUP(D177,'ITEM MASTER'!$A:$A,'ITEM MASTER'!$B:$B,""),"")</f>
        <v>0</v>
      </c>
      <c r="F177" t="s">
        <v>44</v>
      </c>
      <c r="H177">
        <f>IFERROR(_xlfn.XLOOKUP(D177,'ITEM MASTER'!$A:$A,'ITEM MASTER'!$I:$I,"")*IF(F177="CARTON",_xlfn.XLOOKUP(D177,'ITEM MASTER'!$A:$A,'ITEM MASTER'!$H:$H,1),1),"")</f>
        <v>0</v>
      </c>
      <c r="I177">
        <f>IF(OR(C177="PURCHASE",C177="OPENING"),G177*IF(F177="CARTON",_xlfn.XLOOKUP(D177,'ITEM MASTER'!$A:$A,'ITEM MASTER'!$H:$H,1),1),0)</f>
        <v>0</v>
      </c>
      <c r="J177">
        <f>IF(C177="SALE",G177*IF(F177="CARTON",_xlfn.XLOOKUP(D177,'ITEM MASTER'!$A:$A,'ITEM MASTER'!$H:$H,1),1),0)</f>
        <v>0</v>
      </c>
      <c r="K177">
        <f>SUMIFS($I$2:I177,$D$2:D177,D177)-SUMIFS($J$2:J177,$D$2:D177,D177)</f>
        <v>0</v>
      </c>
    </row>
    <row r="178" spans="5:11" x14ac:dyDescent="0.3">
      <c r="E178">
        <f>IFERROR(_xlfn.XLOOKUP(D178,'ITEM MASTER'!$A:$A,'ITEM MASTER'!$B:$B,""),"")</f>
        <v>0</v>
      </c>
      <c r="F178" t="s">
        <v>44</v>
      </c>
      <c r="H178">
        <f>IFERROR(_xlfn.XLOOKUP(D178,'ITEM MASTER'!$A:$A,'ITEM MASTER'!$I:$I,"")*IF(F178="CARTON",_xlfn.XLOOKUP(D178,'ITEM MASTER'!$A:$A,'ITEM MASTER'!$H:$H,1),1),"")</f>
        <v>0</v>
      </c>
      <c r="I178">
        <f>IF(OR(C178="PURCHASE",C178="OPENING"),G178*IF(F178="CARTON",_xlfn.XLOOKUP(D178,'ITEM MASTER'!$A:$A,'ITEM MASTER'!$H:$H,1),1),0)</f>
        <v>0</v>
      </c>
      <c r="J178">
        <f>IF(C178="SALE",G178*IF(F178="CARTON",_xlfn.XLOOKUP(D178,'ITEM MASTER'!$A:$A,'ITEM MASTER'!$H:$H,1),1),0)</f>
        <v>0</v>
      </c>
      <c r="K178">
        <f>SUMIFS($I$2:I178,$D$2:D178,D178)-SUMIFS($J$2:J178,$D$2:D178,D178)</f>
        <v>0</v>
      </c>
    </row>
    <row r="179" spans="5:11" x14ac:dyDescent="0.3">
      <c r="E179">
        <f>IFERROR(_xlfn.XLOOKUP(D179,'ITEM MASTER'!$A:$A,'ITEM MASTER'!$B:$B,""),"")</f>
        <v>0</v>
      </c>
      <c r="F179" t="s">
        <v>44</v>
      </c>
      <c r="H179">
        <f>IFERROR(_xlfn.XLOOKUP(D179,'ITEM MASTER'!$A:$A,'ITEM MASTER'!$I:$I,"")*IF(F179="CARTON",_xlfn.XLOOKUP(D179,'ITEM MASTER'!$A:$A,'ITEM MASTER'!$H:$H,1),1),"")</f>
        <v>0</v>
      </c>
      <c r="I179">
        <f>IF(OR(C179="PURCHASE",C179="OPENING"),G179*IF(F179="CARTON",_xlfn.XLOOKUP(D179,'ITEM MASTER'!$A:$A,'ITEM MASTER'!$H:$H,1),1),0)</f>
        <v>0</v>
      </c>
      <c r="J179">
        <f>IF(C179="SALE",G179*IF(F179="CARTON",_xlfn.XLOOKUP(D179,'ITEM MASTER'!$A:$A,'ITEM MASTER'!$H:$H,1),1),0)</f>
        <v>0</v>
      </c>
      <c r="K179">
        <f>SUMIFS($I$2:I179,$D$2:D179,D179)-SUMIFS($J$2:J179,$D$2:D179,D179)</f>
        <v>0</v>
      </c>
    </row>
    <row r="180" spans="5:11" x14ac:dyDescent="0.3">
      <c r="E180">
        <f>IFERROR(_xlfn.XLOOKUP(D180,'ITEM MASTER'!$A:$A,'ITEM MASTER'!$B:$B,""),"")</f>
        <v>0</v>
      </c>
      <c r="F180" t="s">
        <v>44</v>
      </c>
      <c r="H180">
        <f>IFERROR(_xlfn.XLOOKUP(D180,'ITEM MASTER'!$A:$A,'ITEM MASTER'!$I:$I,"")*IF(F180="CARTON",_xlfn.XLOOKUP(D180,'ITEM MASTER'!$A:$A,'ITEM MASTER'!$H:$H,1),1),"")</f>
        <v>0</v>
      </c>
      <c r="I180">
        <f>IF(OR(C180="PURCHASE",C180="OPENING"),G180*IF(F180="CARTON",_xlfn.XLOOKUP(D180,'ITEM MASTER'!$A:$A,'ITEM MASTER'!$H:$H,1),1),0)</f>
        <v>0</v>
      </c>
      <c r="J180">
        <f>IF(C180="SALE",G180*IF(F180="CARTON",_xlfn.XLOOKUP(D180,'ITEM MASTER'!$A:$A,'ITEM MASTER'!$H:$H,1),1),0)</f>
        <v>0</v>
      </c>
      <c r="K180">
        <f>SUMIFS($I$2:I180,$D$2:D180,D180)-SUMIFS($J$2:J180,$D$2:D180,D180)</f>
        <v>0</v>
      </c>
    </row>
    <row r="181" spans="5:11" x14ac:dyDescent="0.3">
      <c r="E181">
        <f>IFERROR(_xlfn.XLOOKUP(D181,'ITEM MASTER'!$A:$A,'ITEM MASTER'!$B:$B,""),"")</f>
        <v>0</v>
      </c>
      <c r="F181" t="s">
        <v>44</v>
      </c>
      <c r="H181">
        <f>IFERROR(_xlfn.XLOOKUP(D181,'ITEM MASTER'!$A:$A,'ITEM MASTER'!$I:$I,"")*IF(F181="CARTON",_xlfn.XLOOKUP(D181,'ITEM MASTER'!$A:$A,'ITEM MASTER'!$H:$H,1),1),"")</f>
        <v>0</v>
      </c>
      <c r="I181">
        <f>IF(OR(C181="PURCHASE",C181="OPENING"),G181*IF(F181="CARTON",_xlfn.XLOOKUP(D181,'ITEM MASTER'!$A:$A,'ITEM MASTER'!$H:$H,1),1),0)</f>
        <v>0</v>
      </c>
      <c r="J181">
        <f>IF(C181="SALE",G181*IF(F181="CARTON",_xlfn.XLOOKUP(D181,'ITEM MASTER'!$A:$A,'ITEM MASTER'!$H:$H,1),1),0)</f>
        <v>0</v>
      </c>
      <c r="K181">
        <f>SUMIFS($I$2:I181,$D$2:D181,D181)-SUMIFS($J$2:J181,$D$2:D181,D181)</f>
        <v>0</v>
      </c>
    </row>
    <row r="182" spans="5:11" x14ac:dyDescent="0.3">
      <c r="E182">
        <f>IFERROR(_xlfn.XLOOKUP(D182,'ITEM MASTER'!$A:$A,'ITEM MASTER'!$B:$B,""),"")</f>
        <v>0</v>
      </c>
      <c r="F182" t="s">
        <v>44</v>
      </c>
      <c r="H182">
        <f>IFERROR(_xlfn.XLOOKUP(D182,'ITEM MASTER'!$A:$A,'ITEM MASTER'!$I:$I,"")*IF(F182="CARTON",_xlfn.XLOOKUP(D182,'ITEM MASTER'!$A:$A,'ITEM MASTER'!$H:$H,1),1),"")</f>
        <v>0</v>
      </c>
      <c r="I182">
        <f>IF(OR(C182="PURCHASE",C182="OPENING"),G182*IF(F182="CARTON",_xlfn.XLOOKUP(D182,'ITEM MASTER'!$A:$A,'ITEM MASTER'!$H:$H,1),1),0)</f>
        <v>0</v>
      </c>
      <c r="J182">
        <f>IF(C182="SALE",G182*IF(F182="CARTON",_xlfn.XLOOKUP(D182,'ITEM MASTER'!$A:$A,'ITEM MASTER'!$H:$H,1),1),0)</f>
        <v>0</v>
      </c>
      <c r="K182">
        <f>SUMIFS($I$2:I182,$D$2:D182,D182)-SUMIFS($J$2:J182,$D$2:D182,D182)</f>
        <v>0</v>
      </c>
    </row>
    <row r="183" spans="5:11" x14ac:dyDescent="0.3">
      <c r="E183">
        <f>IFERROR(_xlfn.XLOOKUP(D183,'ITEM MASTER'!$A:$A,'ITEM MASTER'!$B:$B,""),"")</f>
        <v>0</v>
      </c>
      <c r="F183" t="s">
        <v>44</v>
      </c>
      <c r="H183">
        <f>IFERROR(_xlfn.XLOOKUP(D183,'ITEM MASTER'!$A:$A,'ITEM MASTER'!$I:$I,"")*IF(F183="CARTON",_xlfn.XLOOKUP(D183,'ITEM MASTER'!$A:$A,'ITEM MASTER'!$H:$H,1),1),"")</f>
        <v>0</v>
      </c>
      <c r="I183">
        <f>IF(OR(C183="PURCHASE",C183="OPENING"),G183*IF(F183="CARTON",_xlfn.XLOOKUP(D183,'ITEM MASTER'!$A:$A,'ITEM MASTER'!$H:$H,1),1),0)</f>
        <v>0</v>
      </c>
      <c r="J183">
        <f>IF(C183="SALE",G183*IF(F183="CARTON",_xlfn.XLOOKUP(D183,'ITEM MASTER'!$A:$A,'ITEM MASTER'!$H:$H,1),1),0)</f>
        <v>0</v>
      </c>
      <c r="K183">
        <f>SUMIFS($I$2:I183,$D$2:D183,D183)-SUMIFS($J$2:J183,$D$2:D183,D183)</f>
        <v>0</v>
      </c>
    </row>
    <row r="184" spans="5:11" x14ac:dyDescent="0.3">
      <c r="E184">
        <f>IFERROR(_xlfn.XLOOKUP(D184,'ITEM MASTER'!$A:$A,'ITEM MASTER'!$B:$B,""),"")</f>
        <v>0</v>
      </c>
      <c r="F184" t="s">
        <v>44</v>
      </c>
      <c r="H184">
        <f>IFERROR(_xlfn.XLOOKUP(D184,'ITEM MASTER'!$A:$A,'ITEM MASTER'!$I:$I,"")*IF(F184="CARTON",_xlfn.XLOOKUP(D184,'ITEM MASTER'!$A:$A,'ITEM MASTER'!$H:$H,1),1),"")</f>
        <v>0</v>
      </c>
      <c r="I184">
        <f>IF(OR(C184="PURCHASE",C184="OPENING"),G184*IF(F184="CARTON",_xlfn.XLOOKUP(D184,'ITEM MASTER'!$A:$A,'ITEM MASTER'!$H:$H,1),1),0)</f>
        <v>0</v>
      </c>
      <c r="J184">
        <f>IF(C184="SALE",G184*IF(F184="CARTON",_xlfn.XLOOKUP(D184,'ITEM MASTER'!$A:$A,'ITEM MASTER'!$H:$H,1),1),0)</f>
        <v>0</v>
      </c>
      <c r="K184">
        <f>SUMIFS($I$2:I184,$D$2:D184,D184)-SUMIFS($J$2:J184,$D$2:D184,D184)</f>
        <v>0</v>
      </c>
    </row>
    <row r="185" spans="5:11" x14ac:dyDescent="0.3">
      <c r="E185">
        <f>IFERROR(_xlfn.XLOOKUP(D185,'ITEM MASTER'!$A:$A,'ITEM MASTER'!$B:$B,""),"")</f>
        <v>0</v>
      </c>
      <c r="F185" t="s">
        <v>44</v>
      </c>
      <c r="H185">
        <f>IFERROR(_xlfn.XLOOKUP(D185,'ITEM MASTER'!$A:$A,'ITEM MASTER'!$I:$I,"")*IF(F185="CARTON",_xlfn.XLOOKUP(D185,'ITEM MASTER'!$A:$A,'ITEM MASTER'!$H:$H,1),1),"")</f>
        <v>0</v>
      </c>
      <c r="I185">
        <f>IF(OR(C185="PURCHASE",C185="OPENING"),G185*IF(F185="CARTON",_xlfn.XLOOKUP(D185,'ITEM MASTER'!$A:$A,'ITEM MASTER'!$H:$H,1),1),0)</f>
        <v>0</v>
      </c>
      <c r="J185">
        <f>IF(C185="SALE",G185*IF(F185="CARTON",_xlfn.XLOOKUP(D185,'ITEM MASTER'!$A:$A,'ITEM MASTER'!$H:$H,1),1),0)</f>
        <v>0</v>
      </c>
      <c r="K185">
        <f>SUMIFS($I$2:I185,$D$2:D185,D185)-SUMIFS($J$2:J185,$D$2:D185,D185)</f>
        <v>0</v>
      </c>
    </row>
    <row r="186" spans="5:11" x14ac:dyDescent="0.3">
      <c r="E186">
        <f>IFERROR(_xlfn.XLOOKUP(D186,'ITEM MASTER'!$A:$A,'ITEM MASTER'!$B:$B,""),"")</f>
        <v>0</v>
      </c>
      <c r="F186" t="s">
        <v>44</v>
      </c>
      <c r="H186">
        <f>IFERROR(_xlfn.XLOOKUP(D186,'ITEM MASTER'!$A:$A,'ITEM MASTER'!$I:$I,"")*IF(F186="CARTON",_xlfn.XLOOKUP(D186,'ITEM MASTER'!$A:$A,'ITEM MASTER'!$H:$H,1),1),"")</f>
        <v>0</v>
      </c>
      <c r="I186">
        <f>IF(OR(C186="PURCHASE",C186="OPENING"),G186*IF(F186="CARTON",_xlfn.XLOOKUP(D186,'ITEM MASTER'!$A:$A,'ITEM MASTER'!$H:$H,1),1),0)</f>
        <v>0</v>
      </c>
      <c r="J186">
        <f>IF(C186="SALE",G186*IF(F186="CARTON",_xlfn.XLOOKUP(D186,'ITEM MASTER'!$A:$A,'ITEM MASTER'!$H:$H,1),1),0)</f>
        <v>0</v>
      </c>
      <c r="K186">
        <f>SUMIFS($I$2:I186,$D$2:D186,D186)-SUMIFS($J$2:J186,$D$2:D186,D186)</f>
        <v>0</v>
      </c>
    </row>
    <row r="187" spans="5:11" x14ac:dyDescent="0.3">
      <c r="E187">
        <f>IFERROR(_xlfn.XLOOKUP(D187,'ITEM MASTER'!$A:$A,'ITEM MASTER'!$B:$B,""),"")</f>
        <v>0</v>
      </c>
      <c r="F187" t="s">
        <v>44</v>
      </c>
      <c r="H187">
        <f>IFERROR(_xlfn.XLOOKUP(D187,'ITEM MASTER'!$A:$A,'ITEM MASTER'!$I:$I,"")*IF(F187="CARTON",_xlfn.XLOOKUP(D187,'ITEM MASTER'!$A:$A,'ITEM MASTER'!$H:$H,1),1),"")</f>
        <v>0</v>
      </c>
      <c r="I187">
        <f>IF(OR(C187="PURCHASE",C187="OPENING"),G187*IF(F187="CARTON",_xlfn.XLOOKUP(D187,'ITEM MASTER'!$A:$A,'ITEM MASTER'!$H:$H,1),1),0)</f>
        <v>0</v>
      </c>
      <c r="J187">
        <f>IF(C187="SALE",G187*IF(F187="CARTON",_xlfn.XLOOKUP(D187,'ITEM MASTER'!$A:$A,'ITEM MASTER'!$H:$H,1),1),0)</f>
        <v>0</v>
      </c>
      <c r="K187">
        <f>SUMIFS($I$2:I187,$D$2:D187,D187)-SUMIFS($J$2:J187,$D$2:D187,D187)</f>
        <v>0</v>
      </c>
    </row>
    <row r="188" spans="5:11" x14ac:dyDescent="0.3">
      <c r="E188">
        <f>IFERROR(_xlfn.XLOOKUP(D188,'ITEM MASTER'!$A:$A,'ITEM MASTER'!$B:$B,""),"")</f>
        <v>0</v>
      </c>
      <c r="F188" t="s">
        <v>44</v>
      </c>
      <c r="H188">
        <f>IFERROR(_xlfn.XLOOKUP(D188,'ITEM MASTER'!$A:$A,'ITEM MASTER'!$I:$I,"")*IF(F188="CARTON",_xlfn.XLOOKUP(D188,'ITEM MASTER'!$A:$A,'ITEM MASTER'!$H:$H,1),1),"")</f>
        <v>0</v>
      </c>
      <c r="I188">
        <f>IF(OR(C188="PURCHASE",C188="OPENING"),G188*IF(F188="CARTON",_xlfn.XLOOKUP(D188,'ITEM MASTER'!$A:$A,'ITEM MASTER'!$H:$H,1),1),0)</f>
        <v>0</v>
      </c>
      <c r="J188">
        <f>IF(C188="SALE",G188*IF(F188="CARTON",_xlfn.XLOOKUP(D188,'ITEM MASTER'!$A:$A,'ITEM MASTER'!$H:$H,1),1),0)</f>
        <v>0</v>
      </c>
      <c r="K188">
        <f>SUMIFS($I$2:I188,$D$2:D188,D188)-SUMIFS($J$2:J188,$D$2:D188,D188)</f>
        <v>0</v>
      </c>
    </row>
    <row r="189" spans="5:11" x14ac:dyDescent="0.3">
      <c r="E189">
        <f>IFERROR(_xlfn.XLOOKUP(D189,'ITEM MASTER'!$A:$A,'ITEM MASTER'!$B:$B,""),"")</f>
        <v>0</v>
      </c>
      <c r="F189" t="s">
        <v>44</v>
      </c>
      <c r="H189">
        <f>IFERROR(_xlfn.XLOOKUP(D189,'ITEM MASTER'!$A:$A,'ITEM MASTER'!$I:$I,"")*IF(F189="CARTON",_xlfn.XLOOKUP(D189,'ITEM MASTER'!$A:$A,'ITEM MASTER'!$H:$H,1),1),"")</f>
        <v>0</v>
      </c>
      <c r="I189">
        <f>IF(OR(C189="PURCHASE",C189="OPENING"),G189*IF(F189="CARTON",_xlfn.XLOOKUP(D189,'ITEM MASTER'!$A:$A,'ITEM MASTER'!$H:$H,1),1),0)</f>
        <v>0</v>
      </c>
      <c r="J189">
        <f>IF(C189="SALE",G189*IF(F189="CARTON",_xlfn.XLOOKUP(D189,'ITEM MASTER'!$A:$A,'ITEM MASTER'!$H:$H,1),1),0)</f>
        <v>0</v>
      </c>
      <c r="K189">
        <f>SUMIFS($I$2:I189,$D$2:D189,D189)-SUMIFS($J$2:J189,$D$2:D189,D189)</f>
        <v>0</v>
      </c>
    </row>
    <row r="190" spans="5:11" x14ac:dyDescent="0.3">
      <c r="E190">
        <f>IFERROR(_xlfn.XLOOKUP(D190,'ITEM MASTER'!$A:$A,'ITEM MASTER'!$B:$B,""),"")</f>
        <v>0</v>
      </c>
      <c r="F190" t="s">
        <v>44</v>
      </c>
      <c r="H190">
        <f>IFERROR(_xlfn.XLOOKUP(D190,'ITEM MASTER'!$A:$A,'ITEM MASTER'!$I:$I,"")*IF(F190="CARTON",_xlfn.XLOOKUP(D190,'ITEM MASTER'!$A:$A,'ITEM MASTER'!$H:$H,1),1),"")</f>
        <v>0</v>
      </c>
      <c r="I190">
        <f>IF(OR(C190="PURCHASE",C190="OPENING"),G190*IF(F190="CARTON",_xlfn.XLOOKUP(D190,'ITEM MASTER'!$A:$A,'ITEM MASTER'!$H:$H,1),1),0)</f>
        <v>0</v>
      </c>
      <c r="J190">
        <f>IF(C190="SALE",G190*IF(F190="CARTON",_xlfn.XLOOKUP(D190,'ITEM MASTER'!$A:$A,'ITEM MASTER'!$H:$H,1),1),0)</f>
        <v>0</v>
      </c>
      <c r="K190">
        <f>SUMIFS($I$2:I190,$D$2:D190,D190)-SUMIFS($J$2:J190,$D$2:D190,D190)</f>
        <v>0</v>
      </c>
    </row>
    <row r="191" spans="5:11" x14ac:dyDescent="0.3">
      <c r="E191">
        <f>IFERROR(_xlfn.XLOOKUP(D191,'ITEM MASTER'!$A:$A,'ITEM MASTER'!$B:$B,""),"")</f>
        <v>0</v>
      </c>
      <c r="F191" t="s">
        <v>44</v>
      </c>
      <c r="H191">
        <f>IFERROR(_xlfn.XLOOKUP(D191,'ITEM MASTER'!$A:$A,'ITEM MASTER'!$I:$I,"")*IF(F191="CARTON",_xlfn.XLOOKUP(D191,'ITEM MASTER'!$A:$A,'ITEM MASTER'!$H:$H,1),1),"")</f>
        <v>0</v>
      </c>
      <c r="I191">
        <f>IF(OR(C191="PURCHASE",C191="OPENING"),G191*IF(F191="CARTON",_xlfn.XLOOKUP(D191,'ITEM MASTER'!$A:$A,'ITEM MASTER'!$H:$H,1),1),0)</f>
        <v>0</v>
      </c>
      <c r="J191">
        <f>IF(C191="SALE",G191*IF(F191="CARTON",_xlfn.XLOOKUP(D191,'ITEM MASTER'!$A:$A,'ITEM MASTER'!$H:$H,1),1),0)</f>
        <v>0</v>
      </c>
      <c r="K191">
        <f>SUMIFS($I$2:I191,$D$2:D191,D191)-SUMIFS($J$2:J191,$D$2:D191,D191)</f>
        <v>0</v>
      </c>
    </row>
    <row r="192" spans="5:11" x14ac:dyDescent="0.3">
      <c r="E192">
        <f>IFERROR(_xlfn.XLOOKUP(D192,'ITEM MASTER'!$A:$A,'ITEM MASTER'!$B:$B,""),"")</f>
        <v>0</v>
      </c>
      <c r="F192" t="s">
        <v>44</v>
      </c>
      <c r="H192">
        <f>IFERROR(_xlfn.XLOOKUP(D192,'ITEM MASTER'!$A:$A,'ITEM MASTER'!$I:$I,"")*IF(F192="CARTON",_xlfn.XLOOKUP(D192,'ITEM MASTER'!$A:$A,'ITEM MASTER'!$H:$H,1),1),"")</f>
        <v>0</v>
      </c>
      <c r="I192">
        <f>IF(OR(C192="PURCHASE",C192="OPENING"),G192*IF(F192="CARTON",_xlfn.XLOOKUP(D192,'ITEM MASTER'!$A:$A,'ITEM MASTER'!$H:$H,1),1),0)</f>
        <v>0</v>
      </c>
      <c r="J192">
        <f>IF(C192="SALE",G192*IF(F192="CARTON",_xlfn.XLOOKUP(D192,'ITEM MASTER'!$A:$A,'ITEM MASTER'!$H:$H,1),1),0)</f>
        <v>0</v>
      </c>
      <c r="K192">
        <f>SUMIFS($I$2:I192,$D$2:D192,D192)-SUMIFS($J$2:J192,$D$2:D192,D192)</f>
        <v>0</v>
      </c>
    </row>
    <row r="193" spans="5:11" x14ac:dyDescent="0.3">
      <c r="E193">
        <f>IFERROR(_xlfn.XLOOKUP(D193,'ITEM MASTER'!$A:$A,'ITEM MASTER'!$B:$B,""),"")</f>
        <v>0</v>
      </c>
      <c r="F193" t="s">
        <v>44</v>
      </c>
      <c r="H193">
        <f>IFERROR(_xlfn.XLOOKUP(D193,'ITEM MASTER'!$A:$A,'ITEM MASTER'!$I:$I,"")*IF(F193="CARTON",_xlfn.XLOOKUP(D193,'ITEM MASTER'!$A:$A,'ITEM MASTER'!$H:$H,1),1),"")</f>
        <v>0</v>
      </c>
      <c r="I193">
        <f>IF(OR(C193="PURCHASE",C193="OPENING"),G193*IF(F193="CARTON",_xlfn.XLOOKUP(D193,'ITEM MASTER'!$A:$A,'ITEM MASTER'!$H:$H,1),1),0)</f>
        <v>0</v>
      </c>
      <c r="J193">
        <f>IF(C193="SALE",G193*IF(F193="CARTON",_xlfn.XLOOKUP(D193,'ITEM MASTER'!$A:$A,'ITEM MASTER'!$H:$H,1),1),0)</f>
        <v>0</v>
      </c>
      <c r="K193">
        <f>SUMIFS($I$2:I193,$D$2:D193,D193)-SUMIFS($J$2:J193,$D$2:D193,D193)</f>
        <v>0</v>
      </c>
    </row>
    <row r="194" spans="5:11" x14ac:dyDescent="0.3">
      <c r="E194">
        <f>IFERROR(_xlfn.XLOOKUP(D194,'ITEM MASTER'!$A:$A,'ITEM MASTER'!$B:$B,""),"")</f>
        <v>0</v>
      </c>
      <c r="F194" t="s">
        <v>44</v>
      </c>
      <c r="H194">
        <f>IFERROR(_xlfn.XLOOKUP(D194,'ITEM MASTER'!$A:$A,'ITEM MASTER'!$I:$I,"")*IF(F194="CARTON",_xlfn.XLOOKUP(D194,'ITEM MASTER'!$A:$A,'ITEM MASTER'!$H:$H,1),1),"")</f>
        <v>0</v>
      </c>
      <c r="I194">
        <f>IF(OR(C194="PURCHASE",C194="OPENING"),G194*IF(F194="CARTON",_xlfn.XLOOKUP(D194,'ITEM MASTER'!$A:$A,'ITEM MASTER'!$H:$H,1),1),0)</f>
        <v>0</v>
      </c>
      <c r="J194">
        <f>IF(C194="SALE",G194*IF(F194="CARTON",_xlfn.XLOOKUP(D194,'ITEM MASTER'!$A:$A,'ITEM MASTER'!$H:$H,1),1),0)</f>
        <v>0</v>
      </c>
      <c r="K194">
        <f>SUMIFS($I$2:I194,$D$2:D194,D194)-SUMIFS($J$2:J194,$D$2:D194,D194)</f>
        <v>0</v>
      </c>
    </row>
    <row r="195" spans="5:11" x14ac:dyDescent="0.3">
      <c r="E195">
        <f>IFERROR(_xlfn.XLOOKUP(D195,'ITEM MASTER'!$A:$A,'ITEM MASTER'!$B:$B,""),"")</f>
        <v>0</v>
      </c>
      <c r="F195" t="s">
        <v>44</v>
      </c>
      <c r="H195">
        <f>IFERROR(_xlfn.XLOOKUP(D195,'ITEM MASTER'!$A:$A,'ITEM MASTER'!$I:$I,"")*IF(F195="CARTON",_xlfn.XLOOKUP(D195,'ITEM MASTER'!$A:$A,'ITEM MASTER'!$H:$H,1),1),"")</f>
        <v>0</v>
      </c>
      <c r="I195">
        <f>IF(OR(C195="PURCHASE",C195="OPENING"),G195*IF(F195="CARTON",_xlfn.XLOOKUP(D195,'ITEM MASTER'!$A:$A,'ITEM MASTER'!$H:$H,1),1),0)</f>
        <v>0</v>
      </c>
      <c r="J195">
        <f>IF(C195="SALE",G195*IF(F195="CARTON",_xlfn.XLOOKUP(D195,'ITEM MASTER'!$A:$A,'ITEM MASTER'!$H:$H,1),1),0)</f>
        <v>0</v>
      </c>
      <c r="K195">
        <f>SUMIFS($I$2:I195,$D$2:D195,D195)-SUMIFS($J$2:J195,$D$2:D195,D195)</f>
        <v>0</v>
      </c>
    </row>
    <row r="196" spans="5:11" x14ac:dyDescent="0.3">
      <c r="E196">
        <f>IFERROR(_xlfn.XLOOKUP(D196,'ITEM MASTER'!$A:$A,'ITEM MASTER'!$B:$B,""),"")</f>
        <v>0</v>
      </c>
      <c r="F196" t="s">
        <v>44</v>
      </c>
      <c r="H196">
        <f>IFERROR(_xlfn.XLOOKUP(D196,'ITEM MASTER'!$A:$A,'ITEM MASTER'!$I:$I,"")*IF(F196="CARTON",_xlfn.XLOOKUP(D196,'ITEM MASTER'!$A:$A,'ITEM MASTER'!$H:$H,1),1),"")</f>
        <v>0</v>
      </c>
      <c r="I196">
        <f>IF(OR(C196="PURCHASE",C196="OPENING"),G196*IF(F196="CARTON",_xlfn.XLOOKUP(D196,'ITEM MASTER'!$A:$A,'ITEM MASTER'!$H:$H,1),1),0)</f>
        <v>0</v>
      </c>
      <c r="J196">
        <f>IF(C196="SALE",G196*IF(F196="CARTON",_xlfn.XLOOKUP(D196,'ITEM MASTER'!$A:$A,'ITEM MASTER'!$H:$H,1),1),0)</f>
        <v>0</v>
      </c>
      <c r="K196">
        <f>SUMIFS($I$2:I196,$D$2:D196,D196)-SUMIFS($J$2:J196,$D$2:D196,D196)</f>
        <v>0</v>
      </c>
    </row>
    <row r="197" spans="5:11" x14ac:dyDescent="0.3">
      <c r="E197">
        <f>IFERROR(_xlfn.XLOOKUP(D197,'ITEM MASTER'!$A:$A,'ITEM MASTER'!$B:$B,""),"")</f>
        <v>0</v>
      </c>
      <c r="F197" t="s">
        <v>44</v>
      </c>
      <c r="H197">
        <f>IFERROR(_xlfn.XLOOKUP(D197,'ITEM MASTER'!$A:$A,'ITEM MASTER'!$I:$I,"")*IF(F197="CARTON",_xlfn.XLOOKUP(D197,'ITEM MASTER'!$A:$A,'ITEM MASTER'!$H:$H,1),1),"")</f>
        <v>0</v>
      </c>
      <c r="I197">
        <f>IF(OR(C197="PURCHASE",C197="OPENING"),G197*IF(F197="CARTON",_xlfn.XLOOKUP(D197,'ITEM MASTER'!$A:$A,'ITEM MASTER'!$H:$H,1),1),0)</f>
        <v>0</v>
      </c>
      <c r="J197">
        <f>IF(C197="SALE",G197*IF(F197="CARTON",_xlfn.XLOOKUP(D197,'ITEM MASTER'!$A:$A,'ITEM MASTER'!$H:$H,1),1),0)</f>
        <v>0</v>
      </c>
      <c r="K197">
        <f>SUMIFS($I$2:I197,$D$2:D197,D197)-SUMIFS($J$2:J197,$D$2:D197,D197)</f>
        <v>0</v>
      </c>
    </row>
    <row r="198" spans="5:11" x14ac:dyDescent="0.3">
      <c r="E198">
        <f>IFERROR(_xlfn.XLOOKUP(D198,'ITEM MASTER'!$A:$A,'ITEM MASTER'!$B:$B,""),"")</f>
        <v>0</v>
      </c>
      <c r="F198" t="s">
        <v>44</v>
      </c>
      <c r="H198">
        <f>IFERROR(_xlfn.XLOOKUP(D198,'ITEM MASTER'!$A:$A,'ITEM MASTER'!$I:$I,"")*IF(F198="CARTON",_xlfn.XLOOKUP(D198,'ITEM MASTER'!$A:$A,'ITEM MASTER'!$H:$H,1),1),"")</f>
        <v>0</v>
      </c>
      <c r="I198">
        <f>IF(OR(C198="PURCHASE",C198="OPENING"),G198*IF(F198="CARTON",_xlfn.XLOOKUP(D198,'ITEM MASTER'!$A:$A,'ITEM MASTER'!$H:$H,1),1),0)</f>
        <v>0</v>
      </c>
      <c r="J198">
        <f>IF(C198="SALE",G198*IF(F198="CARTON",_xlfn.XLOOKUP(D198,'ITEM MASTER'!$A:$A,'ITEM MASTER'!$H:$H,1),1),0)</f>
        <v>0</v>
      </c>
      <c r="K198">
        <f>SUMIFS($I$2:I198,$D$2:D198,D198)-SUMIFS($J$2:J198,$D$2:D198,D198)</f>
        <v>0</v>
      </c>
    </row>
    <row r="199" spans="5:11" x14ac:dyDescent="0.3">
      <c r="E199">
        <f>IFERROR(_xlfn.XLOOKUP(D199,'ITEM MASTER'!$A:$A,'ITEM MASTER'!$B:$B,""),"")</f>
        <v>0</v>
      </c>
      <c r="F199" t="s">
        <v>44</v>
      </c>
      <c r="H199">
        <f>IFERROR(_xlfn.XLOOKUP(D199,'ITEM MASTER'!$A:$A,'ITEM MASTER'!$I:$I,"")*IF(F199="CARTON",_xlfn.XLOOKUP(D199,'ITEM MASTER'!$A:$A,'ITEM MASTER'!$H:$H,1),1),"")</f>
        <v>0</v>
      </c>
      <c r="I199">
        <f>IF(OR(C199="PURCHASE",C199="OPENING"),G199*IF(F199="CARTON",_xlfn.XLOOKUP(D199,'ITEM MASTER'!$A:$A,'ITEM MASTER'!$H:$H,1),1),0)</f>
        <v>0</v>
      </c>
      <c r="J199">
        <f>IF(C199="SALE",G199*IF(F199="CARTON",_xlfn.XLOOKUP(D199,'ITEM MASTER'!$A:$A,'ITEM MASTER'!$H:$H,1),1),0)</f>
        <v>0</v>
      </c>
      <c r="K199">
        <f>SUMIFS($I$2:I199,$D$2:D199,D199)-SUMIFS($J$2:J199,$D$2:D199,D199)</f>
        <v>0</v>
      </c>
    </row>
    <row r="200" spans="5:11" x14ac:dyDescent="0.3">
      <c r="E200">
        <f>IFERROR(_xlfn.XLOOKUP(D200,'ITEM MASTER'!$A:$A,'ITEM MASTER'!$B:$B,""),"")</f>
        <v>0</v>
      </c>
      <c r="F200" t="s">
        <v>44</v>
      </c>
      <c r="H200">
        <f>IFERROR(_xlfn.XLOOKUP(D200,'ITEM MASTER'!$A:$A,'ITEM MASTER'!$I:$I,"")*IF(F200="CARTON",_xlfn.XLOOKUP(D200,'ITEM MASTER'!$A:$A,'ITEM MASTER'!$H:$H,1),1),"")</f>
        <v>0</v>
      </c>
      <c r="I200">
        <f>IF(OR(C200="PURCHASE",C200="OPENING"),G200*IF(F200="CARTON",_xlfn.XLOOKUP(D200,'ITEM MASTER'!$A:$A,'ITEM MASTER'!$H:$H,1),1),0)</f>
        <v>0</v>
      </c>
      <c r="J200">
        <f>IF(C200="SALE",G200*IF(F200="CARTON",_xlfn.XLOOKUP(D200,'ITEM MASTER'!$A:$A,'ITEM MASTER'!$H:$H,1),1),0)</f>
        <v>0</v>
      </c>
      <c r="K200">
        <f>SUMIFS($I$2:I200,$D$2:D200,D200)-SUMIFS($J$2:J200,$D$2:D200,D200)</f>
        <v>0</v>
      </c>
    </row>
    <row r="201" spans="5:11" x14ac:dyDescent="0.3">
      <c r="E201">
        <f>IFERROR(_xlfn.XLOOKUP(D201,'ITEM MASTER'!$A:$A,'ITEM MASTER'!$B:$B,""),"")</f>
        <v>0</v>
      </c>
      <c r="F201" t="s">
        <v>44</v>
      </c>
      <c r="H201">
        <f>IFERROR(_xlfn.XLOOKUP(D201,'ITEM MASTER'!$A:$A,'ITEM MASTER'!$I:$I,"")*IF(F201="CARTON",_xlfn.XLOOKUP(D201,'ITEM MASTER'!$A:$A,'ITEM MASTER'!$H:$H,1),1),"")</f>
        <v>0</v>
      </c>
      <c r="I201">
        <f>IF(OR(C201="PURCHASE",C201="OPENING"),G201*IF(F201="CARTON",_xlfn.XLOOKUP(D201,'ITEM MASTER'!$A:$A,'ITEM MASTER'!$H:$H,1),1),0)</f>
        <v>0</v>
      </c>
      <c r="J201">
        <f>IF(C201="SALE",G201*IF(F201="CARTON",_xlfn.XLOOKUP(D201,'ITEM MASTER'!$A:$A,'ITEM MASTER'!$H:$H,1),1),0)</f>
        <v>0</v>
      </c>
      <c r="K201">
        <f>SUMIFS($I$2:I201,$D$2:D201,D201)-SUMIFS($J$2:J201,$D$2:D201,D201)</f>
        <v>0</v>
      </c>
    </row>
    <row r="202" spans="5:11" x14ac:dyDescent="0.3">
      <c r="E202">
        <f>IFERROR(_xlfn.XLOOKUP(D202,'ITEM MASTER'!$A:$A,'ITEM MASTER'!$B:$B,""),"")</f>
        <v>0</v>
      </c>
      <c r="F202" t="s">
        <v>44</v>
      </c>
      <c r="H202">
        <f>IFERROR(_xlfn.XLOOKUP(D202,'ITEM MASTER'!$A:$A,'ITEM MASTER'!$I:$I,"")*IF(F202="CARTON",_xlfn.XLOOKUP(D202,'ITEM MASTER'!$A:$A,'ITEM MASTER'!$H:$H,1),1),"")</f>
        <v>0</v>
      </c>
      <c r="I202">
        <f>IF(OR(C202="PURCHASE",C202="OPENING"),G202*IF(F202="CARTON",_xlfn.XLOOKUP(D202,'ITEM MASTER'!$A:$A,'ITEM MASTER'!$H:$H,1),1),0)</f>
        <v>0</v>
      </c>
      <c r="J202">
        <f>IF(C202="SALE",G202*IF(F202="CARTON",_xlfn.XLOOKUP(D202,'ITEM MASTER'!$A:$A,'ITEM MASTER'!$H:$H,1),1),0)</f>
        <v>0</v>
      </c>
      <c r="K202">
        <f>SUMIFS($I$2:I202,$D$2:D202,D202)-SUMIFS($J$2:J202,$D$2:D202,D202)</f>
        <v>0</v>
      </c>
    </row>
    <row r="203" spans="5:11" x14ac:dyDescent="0.3">
      <c r="E203">
        <f>IFERROR(_xlfn.XLOOKUP(D203,'ITEM MASTER'!$A:$A,'ITEM MASTER'!$B:$B,""),"")</f>
        <v>0</v>
      </c>
      <c r="F203" t="s">
        <v>44</v>
      </c>
      <c r="H203">
        <f>IFERROR(_xlfn.XLOOKUP(D203,'ITEM MASTER'!$A:$A,'ITEM MASTER'!$I:$I,"")*IF(F203="CARTON",_xlfn.XLOOKUP(D203,'ITEM MASTER'!$A:$A,'ITEM MASTER'!$H:$H,1),1),"")</f>
        <v>0</v>
      </c>
      <c r="I203">
        <f>IF(OR(C203="PURCHASE",C203="OPENING"),G203*IF(F203="CARTON",_xlfn.XLOOKUP(D203,'ITEM MASTER'!$A:$A,'ITEM MASTER'!$H:$H,1),1),0)</f>
        <v>0</v>
      </c>
      <c r="J203">
        <f>IF(C203="SALE",G203*IF(F203="CARTON",_xlfn.XLOOKUP(D203,'ITEM MASTER'!$A:$A,'ITEM MASTER'!$H:$H,1),1),0)</f>
        <v>0</v>
      </c>
      <c r="K203">
        <f>SUMIFS($I$2:I203,$D$2:D203,D203)-SUMIFS($J$2:J203,$D$2:D203,D203)</f>
        <v>0</v>
      </c>
    </row>
    <row r="204" spans="5:11" x14ac:dyDescent="0.3">
      <c r="E204">
        <f>IFERROR(_xlfn.XLOOKUP(D204,'ITEM MASTER'!$A:$A,'ITEM MASTER'!$B:$B,""),"")</f>
        <v>0</v>
      </c>
      <c r="F204" t="s">
        <v>44</v>
      </c>
      <c r="H204">
        <f>IFERROR(_xlfn.XLOOKUP(D204,'ITEM MASTER'!$A:$A,'ITEM MASTER'!$I:$I,"")*IF(F204="CARTON",_xlfn.XLOOKUP(D204,'ITEM MASTER'!$A:$A,'ITEM MASTER'!$H:$H,1),1),"")</f>
        <v>0</v>
      </c>
      <c r="I204">
        <f>IF(OR(C204="PURCHASE",C204="OPENING"),G204*IF(F204="CARTON",_xlfn.XLOOKUP(D204,'ITEM MASTER'!$A:$A,'ITEM MASTER'!$H:$H,1),1),0)</f>
        <v>0</v>
      </c>
      <c r="J204">
        <f>IF(C204="SALE",G204*IF(F204="CARTON",_xlfn.XLOOKUP(D204,'ITEM MASTER'!$A:$A,'ITEM MASTER'!$H:$H,1),1),0)</f>
        <v>0</v>
      </c>
      <c r="K204">
        <f>SUMIFS($I$2:I204,$D$2:D204,D204)-SUMIFS($J$2:J204,$D$2:D204,D204)</f>
        <v>0</v>
      </c>
    </row>
    <row r="205" spans="5:11" x14ac:dyDescent="0.3">
      <c r="E205">
        <f>IFERROR(_xlfn.XLOOKUP(D205,'ITEM MASTER'!$A:$A,'ITEM MASTER'!$B:$B,""),"")</f>
        <v>0</v>
      </c>
      <c r="F205" t="s">
        <v>44</v>
      </c>
      <c r="H205">
        <f>IFERROR(_xlfn.XLOOKUP(D205,'ITEM MASTER'!$A:$A,'ITEM MASTER'!$I:$I,"")*IF(F205="CARTON",_xlfn.XLOOKUP(D205,'ITEM MASTER'!$A:$A,'ITEM MASTER'!$H:$H,1),1),"")</f>
        <v>0</v>
      </c>
      <c r="I205">
        <f>IF(OR(C205="PURCHASE",C205="OPENING"),G205*IF(F205="CARTON",_xlfn.XLOOKUP(D205,'ITEM MASTER'!$A:$A,'ITEM MASTER'!$H:$H,1),1),0)</f>
        <v>0</v>
      </c>
      <c r="J205">
        <f>IF(C205="SALE",G205*IF(F205="CARTON",_xlfn.XLOOKUP(D205,'ITEM MASTER'!$A:$A,'ITEM MASTER'!$H:$H,1),1),0)</f>
        <v>0</v>
      </c>
      <c r="K205">
        <f>SUMIFS($I$2:I205,$D$2:D205,D205)-SUMIFS($J$2:J205,$D$2:D205,D205)</f>
        <v>0</v>
      </c>
    </row>
    <row r="206" spans="5:11" x14ac:dyDescent="0.3">
      <c r="E206">
        <f>IFERROR(_xlfn.XLOOKUP(D206,'ITEM MASTER'!$A:$A,'ITEM MASTER'!$B:$B,""),"")</f>
        <v>0</v>
      </c>
      <c r="F206" t="s">
        <v>44</v>
      </c>
      <c r="H206">
        <f>IFERROR(_xlfn.XLOOKUP(D206,'ITEM MASTER'!$A:$A,'ITEM MASTER'!$I:$I,"")*IF(F206="CARTON",_xlfn.XLOOKUP(D206,'ITEM MASTER'!$A:$A,'ITEM MASTER'!$H:$H,1),1),"")</f>
        <v>0</v>
      </c>
      <c r="I206">
        <f>IF(OR(C206="PURCHASE",C206="OPENING"),G206*IF(F206="CARTON",_xlfn.XLOOKUP(D206,'ITEM MASTER'!$A:$A,'ITEM MASTER'!$H:$H,1),1),0)</f>
        <v>0</v>
      </c>
      <c r="J206">
        <f>IF(C206="SALE",G206*IF(F206="CARTON",_xlfn.XLOOKUP(D206,'ITEM MASTER'!$A:$A,'ITEM MASTER'!$H:$H,1),1),0)</f>
        <v>0</v>
      </c>
      <c r="K206">
        <f>SUMIFS($I$2:I206,$D$2:D206,D206)-SUMIFS($J$2:J206,$D$2:D206,D206)</f>
        <v>0</v>
      </c>
    </row>
    <row r="207" spans="5:11" x14ac:dyDescent="0.3">
      <c r="E207">
        <f>IFERROR(_xlfn.XLOOKUP(D207,'ITEM MASTER'!$A:$A,'ITEM MASTER'!$B:$B,""),"")</f>
        <v>0</v>
      </c>
      <c r="F207" t="s">
        <v>44</v>
      </c>
      <c r="H207">
        <f>IFERROR(_xlfn.XLOOKUP(D207,'ITEM MASTER'!$A:$A,'ITEM MASTER'!$I:$I,"")*IF(F207="CARTON",_xlfn.XLOOKUP(D207,'ITEM MASTER'!$A:$A,'ITEM MASTER'!$H:$H,1),1),"")</f>
        <v>0</v>
      </c>
      <c r="I207">
        <f>IF(OR(C207="PURCHASE",C207="OPENING"),G207*IF(F207="CARTON",_xlfn.XLOOKUP(D207,'ITEM MASTER'!$A:$A,'ITEM MASTER'!$H:$H,1),1),0)</f>
        <v>0</v>
      </c>
      <c r="J207">
        <f>IF(C207="SALE",G207*IF(F207="CARTON",_xlfn.XLOOKUP(D207,'ITEM MASTER'!$A:$A,'ITEM MASTER'!$H:$H,1),1),0)</f>
        <v>0</v>
      </c>
      <c r="K207">
        <f>SUMIFS($I$2:I207,$D$2:D207,D207)-SUMIFS($J$2:J207,$D$2:D207,D207)</f>
        <v>0</v>
      </c>
    </row>
    <row r="208" spans="5:11" x14ac:dyDescent="0.3">
      <c r="E208">
        <f>IFERROR(_xlfn.XLOOKUP(D208,'ITEM MASTER'!$A:$A,'ITEM MASTER'!$B:$B,""),"")</f>
        <v>0</v>
      </c>
      <c r="F208" t="s">
        <v>44</v>
      </c>
      <c r="H208">
        <f>IFERROR(_xlfn.XLOOKUP(D208,'ITEM MASTER'!$A:$A,'ITEM MASTER'!$I:$I,"")*IF(F208="CARTON",_xlfn.XLOOKUP(D208,'ITEM MASTER'!$A:$A,'ITEM MASTER'!$H:$H,1),1),"")</f>
        <v>0</v>
      </c>
      <c r="I208">
        <f>IF(OR(C208="PURCHASE",C208="OPENING"),G208*IF(F208="CARTON",_xlfn.XLOOKUP(D208,'ITEM MASTER'!$A:$A,'ITEM MASTER'!$H:$H,1),1),0)</f>
        <v>0</v>
      </c>
      <c r="J208">
        <f>IF(C208="SALE",G208*IF(F208="CARTON",_xlfn.XLOOKUP(D208,'ITEM MASTER'!$A:$A,'ITEM MASTER'!$H:$H,1),1),0)</f>
        <v>0</v>
      </c>
      <c r="K208">
        <f>SUMIFS($I$2:I208,$D$2:D208,D208)-SUMIFS($J$2:J208,$D$2:D208,D208)</f>
        <v>0</v>
      </c>
    </row>
    <row r="209" spans="5:11" x14ac:dyDescent="0.3">
      <c r="E209">
        <f>IFERROR(_xlfn.XLOOKUP(D209,'ITEM MASTER'!$A:$A,'ITEM MASTER'!$B:$B,""),"")</f>
        <v>0</v>
      </c>
      <c r="F209" t="s">
        <v>44</v>
      </c>
      <c r="H209">
        <f>IFERROR(_xlfn.XLOOKUP(D209,'ITEM MASTER'!$A:$A,'ITEM MASTER'!$I:$I,"")*IF(F209="CARTON",_xlfn.XLOOKUP(D209,'ITEM MASTER'!$A:$A,'ITEM MASTER'!$H:$H,1),1),"")</f>
        <v>0</v>
      </c>
      <c r="I209">
        <f>IF(OR(C209="PURCHASE",C209="OPENING"),G209*IF(F209="CARTON",_xlfn.XLOOKUP(D209,'ITEM MASTER'!$A:$A,'ITEM MASTER'!$H:$H,1),1),0)</f>
        <v>0</v>
      </c>
      <c r="J209">
        <f>IF(C209="SALE",G209*IF(F209="CARTON",_xlfn.XLOOKUP(D209,'ITEM MASTER'!$A:$A,'ITEM MASTER'!$H:$H,1),1),0)</f>
        <v>0</v>
      </c>
      <c r="K209">
        <f>SUMIFS($I$2:I209,$D$2:D209,D209)-SUMIFS($J$2:J209,$D$2:D209,D209)</f>
        <v>0</v>
      </c>
    </row>
    <row r="210" spans="5:11" x14ac:dyDescent="0.3">
      <c r="E210">
        <f>IFERROR(_xlfn.XLOOKUP(D210,'ITEM MASTER'!$A:$A,'ITEM MASTER'!$B:$B,""),"")</f>
        <v>0</v>
      </c>
      <c r="F210" t="s">
        <v>44</v>
      </c>
      <c r="H210">
        <f>IFERROR(_xlfn.XLOOKUP(D210,'ITEM MASTER'!$A:$A,'ITEM MASTER'!$I:$I,"")*IF(F210="CARTON",_xlfn.XLOOKUP(D210,'ITEM MASTER'!$A:$A,'ITEM MASTER'!$H:$H,1),1),"")</f>
        <v>0</v>
      </c>
      <c r="I210">
        <f>IF(OR(C210="PURCHASE",C210="OPENING"),G210*IF(F210="CARTON",_xlfn.XLOOKUP(D210,'ITEM MASTER'!$A:$A,'ITEM MASTER'!$H:$H,1),1),0)</f>
        <v>0</v>
      </c>
      <c r="J210">
        <f>IF(C210="SALE",G210*IF(F210="CARTON",_xlfn.XLOOKUP(D210,'ITEM MASTER'!$A:$A,'ITEM MASTER'!$H:$H,1),1),0)</f>
        <v>0</v>
      </c>
      <c r="K210">
        <f>SUMIFS($I$2:I210,$D$2:D210,D210)-SUMIFS($J$2:J210,$D$2:D210,D210)</f>
        <v>0</v>
      </c>
    </row>
    <row r="211" spans="5:11" x14ac:dyDescent="0.3">
      <c r="E211">
        <f>IFERROR(_xlfn.XLOOKUP(D211,'ITEM MASTER'!$A:$A,'ITEM MASTER'!$B:$B,""),"")</f>
        <v>0</v>
      </c>
      <c r="F211" t="s">
        <v>44</v>
      </c>
      <c r="H211">
        <f>IFERROR(_xlfn.XLOOKUP(D211,'ITEM MASTER'!$A:$A,'ITEM MASTER'!$I:$I,"")*IF(F211="CARTON",_xlfn.XLOOKUP(D211,'ITEM MASTER'!$A:$A,'ITEM MASTER'!$H:$H,1),1),"")</f>
        <v>0</v>
      </c>
      <c r="I211">
        <f>IF(OR(C211="PURCHASE",C211="OPENING"),G211*IF(F211="CARTON",_xlfn.XLOOKUP(D211,'ITEM MASTER'!$A:$A,'ITEM MASTER'!$H:$H,1),1),0)</f>
        <v>0</v>
      </c>
      <c r="J211">
        <f>IF(C211="SALE",G211*IF(F211="CARTON",_xlfn.XLOOKUP(D211,'ITEM MASTER'!$A:$A,'ITEM MASTER'!$H:$H,1),1),0)</f>
        <v>0</v>
      </c>
      <c r="K211">
        <f>SUMIFS($I$2:I211,$D$2:D211,D211)-SUMIFS($J$2:J211,$D$2:D211,D211)</f>
        <v>0</v>
      </c>
    </row>
    <row r="212" spans="5:11" x14ac:dyDescent="0.3">
      <c r="E212">
        <f>IFERROR(_xlfn.XLOOKUP(D212,'ITEM MASTER'!$A:$A,'ITEM MASTER'!$B:$B,""),"")</f>
        <v>0</v>
      </c>
      <c r="F212" t="s">
        <v>44</v>
      </c>
      <c r="H212">
        <f>IFERROR(_xlfn.XLOOKUP(D212,'ITEM MASTER'!$A:$A,'ITEM MASTER'!$I:$I,"")*IF(F212="CARTON",_xlfn.XLOOKUP(D212,'ITEM MASTER'!$A:$A,'ITEM MASTER'!$H:$H,1),1),"")</f>
        <v>0</v>
      </c>
      <c r="I212">
        <f>IF(OR(C212="PURCHASE",C212="OPENING"),G212*IF(F212="CARTON",_xlfn.XLOOKUP(D212,'ITEM MASTER'!$A:$A,'ITEM MASTER'!$H:$H,1),1),0)</f>
        <v>0</v>
      </c>
      <c r="J212">
        <f>IF(C212="SALE",G212*IF(F212="CARTON",_xlfn.XLOOKUP(D212,'ITEM MASTER'!$A:$A,'ITEM MASTER'!$H:$H,1),1),0)</f>
        <v>0</v>
      </c>
      <c r="K212">
        <f>SUMIFS($I$2:I212,$D$2:D212,D212)-SUMIFS($J$2:J212,$D$2:D212,D212)</f>
        <v>0</v>
      </c>
    </row>
    <row r="213" spans="5:11" x14ac:dyDescent="0.3">
      <c r="E213">
        <f>IFERROR(_xlfn.XLOOKUP(D213,'ITEM MASTER'!$A:$A,'ITEM MASTER'!$B:$B,""),"")</f>
        <v>0</v>
      </c>
      <c r="F213" t="s">
        <v>44</v>
      </c>
      <c r="H213">
        <f>IFERROR(_xlfn.XLOOKUP(D213,'ITEM MASTER'!$A:$A,'ITEM MASTER'!$I:$I,"")*IF(F213="CARTON",_xlfn.XLOOKUP(D213,'ITEM MASTER'!$A:$A,'ITEM MASTER'!$H:$H,1),1),"")</f>
        <v>0</v>
      </c>
      <c r="I213">
        <f>IF(OR(C213="PURCHASE",C213="OPENING"),G213*IF(F213="CARTON",_xlfn.XLOOKUP(D213,'ITEM MASTER'!$A:$A,'ITEM MASTER'!$H:$H,1),1),0)</f>
        <v>0</v>
      </c>
      <c r="J213">
        <f>IF(C213="SALE",G213*IF(F213="CARTON",_xlfn.XLOOKUP(D213,'ITEM MASTER'!$A:$A,'ITEM MASTER'!$H:$H,1),1),0)</f>
        <v>0</v>
      </c>
      <c r="K213">
        <f>SUMIFS($I$2:I213,$D$2:D213,D213)-SUMIFS($J$2:J213,$D$2:D213,D213)</f>
        <v>0</v>
      </c>
    </row>
    <row r="214" spans="5:11" x14ac:dyDescent="0.3">
      <c r="E214">
        <f>IFERROR(_xlfn.XLOOKUP(D214,'ITEM MASTER'!$A:$A,'ITEM MASTER'!$B:$B,""),"")</f>
        <v>0</v>
      </c>
      <c r="F214" t="s">
        <v>44</v>
      </c>
      <c r="H214">
        <f>IFERROR(_xlfn.XLOOKUP(D214,'ITEM MASTER'!$A:$A,'ITEM MASTER'!$I:$I,"")*IF(F214="CARTON",_xlfn.XLOOKUP(D214,'ITEM MASTER'!$A:$A,'ITEM MASTER'!$H:$H,1),1),"")</f>
        <v>0</v>
      </c>
      <c r="I214">
        <f>IF(OR(C214="PURCHASE",C214="OPENING"),G214*IF(F214="CARTON",_xlfn.XLOOKUP(D214,'ITEM MASTER'!$A:$A,'ITEM MASTER'!$H:$H,1),1),0)</f>
        <v>0</v>
      </c>
      <c r="J214">
        <f>IF(C214="SALE",G214*IF(F214="CARTON",_xlfn.XLOOKUP(D214,'ITEM MASTER'!$A:$A,'ITEM MASTER'!$H:$H,1),1),0)</f>
        <v>0</v>
      </c>
      <c r="K214">
        <f>SUMIFS($I$2:I214,$D$2:D214,D214)-SUMIFS($J$2:J214,$D$2:D214,D214)</f>
        <v>0</v>
      </c>
    </row>
    <row r="215" spans="5:11" x14ac:dyDescent="0.3">
      <c r="E215">
        <f>IFERROR(_xlfn.XLOOKUP(D215,'ITEM MASTER'!$A:$A,'ITEM MASTER'!$B:$B,""),"")</f>
        <v>0</v>
      </c>
      <c r="F215" t="s">
        <v>44</v>
      </c>
      <c r="H215">
        <f>IFERROR(_xlfn.XLOOKUP(D215,'ITEM MASTER'!$A:$A,'ITEM MASTER'!$I:$I,"")*IF(F215="CARTON",_xlfn.XLOOKUP(D215,'ITEM MASTER'!$A:$A,'ITEM MASTER'!$H:$H,1),1),"")</f>
        <v>0</v>
      </c>
      <c r="I215">
        <f>IF(OR(C215="PURCHASE",C215="OPENING"),G215*IF(F215="CARTON",_xlfn.XLOOKUP(D215,'ITEM MASTER'!$A:$A,'ITEM MASTER'!$H:$H,1),1),0)</f>
        <v>0</v>
      </c>
      <c r="J215">
        <f>IF(C215="SALE",G215*IF(F215="CARTON",_xlfn.XLOOKUP(D215,'ITEM MASTER'!$A:$A,'ITEM MASTER'!$H:$H,1),1),0)</f>
        <v>0</v>
      </c>
      <c r="K215">
        <f>SUMIFS($I$2:I215,$D$2:D215,D215)-SUMIFS($J$2:J215,$D$2:D215,D215)</f>
        <v>0</v>
      </c>
    </row>
    <row r="216" spans="5:11" x14ac:dyDescent="0.3">
      <c r="E216">
        <f>IFERROR(_xlfn.XLOOKUP(D216,'ITEM MASTER'!$A:$A,'ITEM MASTER'!$B:$B,""),"")</f>
        <v>0</v>
      </c>
      <c r="F216" t="s">
        <v>44</v>
      </c>
      <c r="H216">
        <f>IFERROR(_xlfn.XLOOKUP(D216,'ITEM MASTER'!$A:$A,'ITEM MASTER'!$I:$I,"")*IF(F216="CARTON",_xlfn.XLOOKUP(D216,'ITEM MASTER'!$A:$A,'ITEM MASTER'!$H:$H,1),1),"")</f>
        <v>0</v>
      </c>
      <c r="I216">
        <f>IF(OR(C216="PURCHASE",C216="OPENING"),G216*IF(F216="CARTON",_xlfn.XLOOKUP(D216,'ITEM MASTER'!$A:$A,'ITEM MASTER'!$H:$H,1),1),0)</f>
        <v>0</v>
      </c>
      <c r="J216">
        <f>IF(C216="SALE",G216*IF(F216="CARTON",_xlfn.XLOOKUP(D216,'ITEM MASTER'!$A:$A,'ITEM MASTER'!$H:$H,1),1),0)</f>
        <v>0</v>
      </c>
      <c r="K216">
        <f>SUMIFS($I$2:I216,$D$2:D216,D216)-SUMIFS($J$2:J216,$D$2:D216,D216)</f>
        <v>0</v>
      </c>
    </row>
    <row r="217" spans="5:11" x14ac:dyDescent="0.3">
      <c r="E217">
        <f>IFERROR(_xlfn.XLOOKUP(D217,'ITEM MASTER'!$A:$A,'ITEM MASTER'!$B:$B,""),"")</f>
        <v>0</v>
      </c>
      <c r="F217" t="s">
        <v>44</v>
      </c>
      <c r="H217">
        <f>IFERROR(_xlfn.XLOOKUP(D217,'ITEM MASTER'!$A:$A,'ITEM MASTER'!$I:$I,"")*IF(F217="CARTON",_xlfn.XLOOKUP(D217,'ITEM MASTER'!$A:$A,'ITEM MASTER'!$H:$H,1),1),"")</f>
        <v>0</v>
      </c>
      <c r="I217">
        <f>IF(OR(C217="PURCHASE",C217="OPENING"),G217*IF(F217="CARTON",_xlfn.XLOOKUP(D217,'ITEM MASTER'!$A:$A,'ITEM MASTER'!$H:$H,1),1),0)</f>
        <v>0</v>
      </c>
      <c r="J217">
        <f>IF(C217="SALE",G217*IF(F217="CARTON",_xlfn.XLOOKUP(D217,'ITEM MASTER'!$A:$A,'ITEM MASTER'!$H:$H,1),1),0)</f>
        <v>0</v>
      </c>
      <c r="K217">
        <f>SUMIFS($I$2:I217,$D$2:D217,D217)-SUMIFS($J$2:J217,$D$2:D217,D217)</f>
        <v>0</v>
      </c>
    </row>
    <row r="218" spans="5:11" x14ac:dyDescent="0.3">
      <c r="E218">
        <f>IFERROR(_xlfn.XLOOKUP(D218,'ITEM MASTER'!$A:$A,'ITEM MASTER'!$B:$B,""),"")</f>
        <v>0</v>
      </c>
      <c r="F218" t="s">
        <v>44</v>
      </c>
      <c r="H218">
        <f>IFERROR(_xlfn.XLOOKUP(D218,'ITEM MASTER'!$A:$A,'ITEM MASTER'!$I:$I,"")*IF(F218="CARTON",_xlfn.XLOOKUP(D218,'ITEM MASTER'!$A:$A,'ITEM MASTER'!$H:$H,1),1),"")</f>
        <v>0</v>
      </c>
      <c r="I218">
        <f>IF(OR(C218="PURCHASE",C218="OPENING"),G218*IF(F218="CARTON",_xlfn.XLOOKUP(D218,'ITEM MASTER'!$A:$A,'ITEM MASTER'!$H:$H,1),1),0)</f>
        <v>0</v>
      </c>
      <c r="J218">
        <f>IF(C218="SALE",G218*IF(F218="CARTON",_xlfn.XLOOKUP(D218,'ITEM MASTER'!$A:$A,'ITEM MASTER'!$H:$H,1),1),0)</f>
        <v>0</v>
      </c>
      <c r="K218">
        <f>SUMIFS($I$2:I218,$D$2:D218,D218)-SUMIFS($J$2:J218,$D$2:D218,D218)</f>
        <v>0</v>
      </c>
    </row>
    <row r="219" spans="5:11" x14ac:dyDescent="0.3">
      <c r="E219">
        <f>IFERROR(_xlfn.XLOOKUP(D219,'ITEM MASTER'!$A:$A,'ITEM MASTER'!$B:$B,""),"")</f>
        <v>0</v>
      </c>
      <c r="F219" t="s">
        <v>44</v>
      </c>
      <c r="H219">
        <f>IFERROR(_xlfn.XLOOKUP(D219,'ITEM MASTER'!$A:$A,'ITEM MASTER'!$I:$I,"")*IF(F219="CARTON",_xlfn.XLOOKUP(D219,'ITEM MASTER'!$A:$A,'ITEM MASTER'!$H:$H,1),1),"")</f>
        <v>0</v>
      </c>
      <c r="I219">
        <f>IF(OR(C219="PURCHASE",C219="OPENING"),G219*IF(F219="CARTON",_xlfn.XLOOKUP(D219,'ITEM MASTER'!$A:$A,'ITEM MASTER'!$H:$H,1),1),0)</f>
        <v>0</v>
      </c>
      <c r="J219">
        <f>IF(C219="SALE",G219*IF(F219="CARTON",_xlfn.XLOOKUP(D219,'ITEM MASTER'!$A:$A,'ITEM MASTER'!$H:$H,1),1),0)</f>
        <v>0</v>
      </c>
      <c r="K219">
        <f>SUMIFS($I$2:I219,$D$2:D219,D219)-SUMIFS($J$2:J219,$D$2:D219,D219)</f>
        <v>0</v>
      </c>
    </row>
    <row r="220" spans="5:11" x14ac:dyDescent="0.3">
      <c r="E220">
        <f>IFERROR(_xlfn.XLOOKUP(D220,'ITEM MASTER'!$A:$A,'ITEM MASTER'!$B:$B,""),"")</f>
        <v>0</v>
      </c>
      <c r="F220" t="s">
        <v>44</v>
      </c>
      <c r="H220">
        <f>IFERROR(_xlfn.XLOOKUP(D220,'ITEM MASTER'!$A:$A,'ITEM MASTER'!$I:$I,"")*IF(F220="CARTON",_xlfn.XLOOKUP(D220,'ITEM MASTER'!$A:$A,'ITEM MASTER'!$H:$H,1),1),"")</f>
        <v>0</v>
      </c>
      <c r="I220">
        <f>IF(OR(C220="PURCHASE",C220="OPENING"),G220*IF(F220="CARTON",_xlfn.XLOOKUP(D220,'ITEM MASTER'!$A:$A,'ITEM MASTER'!$H:$H,1),1),0)</f>
        <v>0</v>
      </c>
      <c r="J220">
        <f>IF(C220="SALE",G220*IF(F220="CARTON",_xlfn.XLOOKUP(D220,'ITEM MASTER'!$A:$A,'ITEM MASTER'!$H:$H,1),1),0)</f>
        <v>0</v>
      </c>
      <c r="K220">
        <f>SUMIFS($I$2:I220,$D$2:D220,D220)-SUMIFS($J$2:J220,$D$2:D220,D220)</f>
        <v>0</v>
      </c>
    </row>
    <row r="221" spans="5:11" x14ac:dyDescent="0.3">
      <c r="E221">
        <f>IFERROR(_xlfn.XLOOKUP(D221,'ITEM MASTER'!$A:$A,'ITEM MASTER'!$B:$B,""),"")</f>
        <v>0</v>
      </c>
      <c r="F221" t="s">
        <v>44</v>
      </c>
      <c r="H221">
        <f>IFERROR(_xlfn.XLOOKUP(D221,'ITEM MASTER'!$A:$A,'ITEM MASTER'!$I:$I,"")*IF(F221="CARTON",_xlfn.XLOOKUP(D221,'ITEM MASTER'!$A:$A,'ITEM MASTER'!$H:$H,1),1),"")</f>
        <v>0</v>
      </c>
      <c r="I221">
        <f>IF(OR(C221="PURCHASE",C221="OPENING"),G221*IF(F221="CARTON",_xlfn.XLOOKUP(D221,'ITEM MASTER'!$A:$A,'ITEM MASTER'!$H:$H,1),1),0)</f>
        <v>0</v>
      </c>
      <c r="J221">
        <f>IF(C221="SALE",G221*IF(F221="CARTON",_xlfn.XLOOKUP(D221,'ITEM MASTER'!$A:$A,'ITEM MASTER'!$H:$H,1),1),0)</f>
        <v>0</v>
      </c>
      <c r="K221">
        <f>SUMIFS($I$2:I221,$D$2:D221,D221)-SUMIFS($J$2:J221,$D$2:D221,D221)</f>
        <v>0</v>
      </c>
    </row>
    <row r="222" spans="5:11" x14ac:dyDescent="0.3">
      <c r="E222">
        <f>IFERROR(_xlfn.XLOOKUP(D222,'ITEM MASTER'!$A:$A,'ITEM MASTER'!$B:$B,""),"")</f>
        <v>0</v>
      </c>
      <c r="F222" t="s">
        <v>44</v>
      </c>
      <c r="H222">
        <f>IFERROR(_xlfn.XLOOKUP(D222,'ITEM MASTER'!$A:$A,'ITEM MASTER'!$I:$I,"")*IF(F222="CARTON",_xlfn.XLOOKUP(D222,'ITEM MASTER'!$A:$A,'ITEM MASTER'!$H:$H,1),1),"")</f>
        <v>0</v>
      </c>
      <c r="I222">
        <f>IF(OR(C222="PURCHASE",C222="OPENING"),G222*IF(F222="CARTON",_xlfn.XLOOKUP(D222,'ITEM MASTER'!$A:$A,'ITEM MASTER'!$H:$H,1),1),0)</f>
        <v>0</v>
      </c>
      <c r="J222">
        <f>IF(C222="SALE",G222*IF(F222="CARTON",_xlfn.XLOOKUP(D222,'ITEM MASTER'!$A:$A,'ITEM MASTER'!$H:$H,1),1),0)</f>
        <v>0</v>
      </c>
      <c r="K222">
        <f>SUMIFS($I$2:I222,$D$2:D222,D222)-SUMIFS($J$2:J222,$D$2:D222,D222)</f>
        <v>0</v>
      </c>
    </row>
    <row r="223" spans="5:11" x14ac:dyDescent="0.3">
      <c r="E223">
        <f>IFERROR(_xlfn.XLOOKUP(D223,'ITEM MASTER'!$A:$A,'ITEM MASTER'!$B:$B,""),"")</f>
        <v>0</v>
      </c>
      <c r="F223" t="s">
        <v>44</v>
      </c>
      <c r="H223">
        <f>IFERROR(_xlfn.XLOOKUP(D223,'ITEM MASTER'!$A:$A,'ITEM MASTER'!$I:$I,"")*IF(F223="CARTON",_xlfn.XLOOKUP(D223,'ITEM MASTER'!$A:$A,'ITEM MASTER'!$H:$H,1),1),"")</f>
        <v>0</v>
      </c>
      <c r="I223">
        <f>IF(OR(C223="PURCHASE",C223="OPENING"),G223*IF(F223="CARTON",_xlfn.XLOOKUP(D223,'ITEM MASTER'!$A:$A,'ITEM MASTER'!$H:$H,1),1),0)</f>
        <v>0</v>
      </c>
      <c r="J223">
        <f>IF(C223="SALE",G223*IF(F223="CARTON",_xlfn.XLOOKUP(D223,'ITEM MASTER'!$A:$A,'ITEM MASTER'!$H:$H,1),1),0)</f>
        <v>0</v>
      </c>
      <c r="K223">
        <f>SUMIFS($I$2:I223,$D$2:D223,D223)-SUMIFS($J$2:J223,$D$2:D223,D223)</f>
        <v>0</v>
      </c>
    </row>
    <row r="224" spans="5:11" x14ac:dyDescent="0.3">
      <c r="E224">
        <f>IFERROR(_xlfn.XLOOKUP(D224,'ITEM MASTER'!$A:$A,'ITEM MASTER'!$B:$B,""),"")</f>
        <v>0</v>
      </c>
      <c r="F224" t="s">
        <v>44</v>
      </c>
      <c r="H224">
        <f>IFERROR(_xlfn.XLOOKUP(D224,'ITEM MASTER'!$A:$A,'ITEM MASTER'!$I:$I,"")*IF(F224="CARTON",_xlfn.XLOOKUP(D224,'ITEM MASTER'!$A:$A,'ITEM MASTER'!$H:$H,1),1),"")</f>
        <v>0</v>
      </c>
      <c r="I224">
        <f>IF(OR(C224="PURCHASE",C224="OPENING"),G224*IF(F224="CARTON",_xlfn.XLOOKUP(D224,'ITEM MASTER'!$A:$A,'ITEM MASTER'!$H:$H,1),1),0)</f>
        <v>0</v>
      </c>
      <c r="J224">
        <f>IF(C224="SALE",G224*IF(F224="CARTON",_xlfn.XLOOKUP(D224,'ITEM MASTER'!$A:$A,'ITEM MASTER'!$H:$H,1),1),0)</f>
        <v>0</v>
      </c>
      <c r="K224">
        <f>SUMIFS($I$2:I224,$D$2:D224,D224)-SUMIFS($J$2:J224,$D$2:D224,D224)</f>
        <v>0</v>
      </c>
    </row>
    <row r="225" spans="5:11" x14ac:dyDescent="0.3">
      <c r="E225">
        <f>IFERROR(_xlfn.XLOOKUP(D225,'ITEM MASTER'!$A:$A,'ITEM MASTER'!$B:$B,""),"")</f>
        <v>0</v>
      </c>
      <c r="F225" t="s">
        <v>44</v>
      </c>
      <c r="H225">
        <f>IFERROR(_xlfn.XLOOKUP(D225,'ITEM MASTER'!$A:$A,'ITEM MASTER'!$I:$I,"")*IF(F225="CARTON",_xlfn.XLOOKUP(D225,'ITEM MASTER'!$A:$A,'ITEM MASTER'!$H:$H,1),1),"")</f>
        <v>0</v>
      </c>
      <c r="I225">
        <f>IF(OR(C225="PURCHASE",C225="OPENING"),G225*IF(F225="CARTON",_xlfn.XLOOKUP(D225,'ITEM MASTER'!$A:$A,'ITEM MASTER'!$H:$H,1),1),0)</f>
        <v>0</v>
      </c>
      <c r="J225">
        <f>IF(C225="SALE",G225*IF(F225="CARTON",_xlfn.XLOOKUP(D225,'ITEM MASTER'!$A:$A,'ITEM MASTER'!$H:$H,1),1),0)</f>
        <v>0</v>
      </c>
      <c r="K225">
        <f>SUMIFS($I$2:I225,$D$2:D225,D225)-SUMIFS($J$2:J225,$D$2:D225,D225)</f>
        <v>0</v>
      </c>
    </row>
    <row r="226" spans="5:11" x14ac:dyDescent="0.3">
      <c r="E226">
        <f>IFERROR(_xlfn.XLOOKUP(D226,'ITEM MASTER'!$A:$A,'ITEM MASTER'!$B:$B,""),"")</f>
        <v>0</v>
      </c>
      <c r="F226" t="s">
        <v>44</v>
      </c>
      <c r="H226">
        <f>IFERROR(_xlfn.XLOOKUP(D226,'ITEM MASTER'!$A:$A,'ITEM MASTER'!$I:$I,"")*IF(F226="CARTON",_xlfn.XLOOKUP(D226,'ITEM MASTER'!$A:$A,'ITEM MASTER'!$H:$H,1),1),"")</f>
        <v>0</v>
      </c>
      <c r="I226">
        <f>IF(OR(C226="PURCHASE",C226="OPENING"),G226*IF(F226="CARTON",_xlfn.XLOOKUP(D226,'ITEM MASTER'!$A:$A,'ITEM MASTER'!$H:$H,1),1),0)</f>
        <v>0</v>
      </c>
      <c r="J226">
        <f>IF(C226="SALE",G226*IF(F226="CARTON",_xlfn.XLOOKUP(D226,'ITEM MASTER'!$A:$A,'ITEM MASTER'!$H:$H,1),1),0)</f>
        <v>0</v>
      </c>
      <c r="K226">
        <f>SUMIFS($I$2:I226,$D$2:D226,D226)-SUMIFS($J$2:J226,$D$2:D226,D226)</f>
        <v>0</v>
      </c>
    </row>
    <row r="227" spans="5:11" x14ac:dyDescent="0.3">
      <c r="E227">
        <f>IFERROR(_xlfn.XLOOKUP(D227,'ITEM MASTER'!$A:$A,'ITEM MASTER'!$B:$B,""),"")</f>
        <v>0</v>
      </c>
      <c r="F227" t="s">
        <v>44</v>
      </c>
      <c r="H227">
        <f>IFERROR(_xlfn.XLOOKUP(D227,'ITEM MASTER'!$A:$A,'ITEM MASTER'!$I:$I,"")*IF(F227="CARTON",_xlfn.XLOOKUP(D227,'ITEM MASTER'!$A:$A,'ITEM MASTER'!$H:$H,1),1),"")</f>
        <v>0</v>
      </c>
      <c r="I227">
        <f>IF(OR(C227="PURCHASE",C227="OPENING"),G227*IF(F227="CARTON",_xlfn.XLOOKUP(D227,'ITEM MASTER'!$A:$A,'ITEM MASTER'!$H:$H,1),1),0)</f>
        <v>0</v>
      </c>
      <c r="J227">
        <f>IF(C227="SALE",G227*IF(F227="CARTON",_xlfn.XLOOKUP(D227,'ITEM MASTER'!$A:$A,'ITEM MASTER'!$H:$H,1),1),0)</f>
        <v>0</v>
      </c>
      <c r="K227">
        <f>SUMIFS($I$2:I227,$D$2:D227,D227)-SUMIFS($J$2:J227,$D$2:D227,D227)</f>
        <v>0</v>
      </c>
    </row>
    <row r="228" spans="5:11" x14ac:dyDescent="0.3">
      <c r="E228">
        <f>IFERROR(_xlfn.XLOOKUP(D228,'ITEM MASTER'!$A:$A,'ITEM MASTER'!$B:$B,""),"")</f>
        <v>0</v>
      </c>
      <c r="F228" t="s">
        <v>44</v>
      </c>
      <c r="H228">
        <f>IFERROR(_xlfn.XLOOKUP(D228,'ITEM MASTER'!$A:$A,'ITEM MASTER'!$I:$I,"")*IF(F228="CARTON",_xlfn.XLOOKUP(D228,'ITEM MASTER'!$A:$A,'ITEM MASTER'!$H:$H,1),1),"")</f>
        <v>0</v>
      </c>
      <c r="I228">
        <f>IF(OR(C228="PURCHASE",C228="OPENING"),G228*IF(F228="CARTON",_xlfn.XLOOKUP(D228,'ITEM MASTER'!$A:$A,'ITEM MASTER'!$H:$H,1),1),0)</f>
        <v>0</v>
      </c>
      <c r="J228">
        <f>IF(C228="SALE",G228*IF(F228="CARTON",_xlfn.XLOOKUP(D228,'ITEM MASTER'!$A:$A,'ITEM MASTER'!$H:$H,1),1),0)</f>
        <v>0</v>
      </c>
      <c r="K228">
        <f>SUMIFS($I$2:I228,$D$2:D228,D228)-SUMIFS($J$2:J228,$D$2:D228,D228)</f>
        <v>0</v>
      </c>
    </row>
    <row r="229" spans="5:11" x14ac:dyDescent="0.3">
      <c r="E229">
        <f>IFERROR(_xlfn.XLOOKUP(D229,'ITEM MASTER'!$A:$A,'ITEM MASTER'!$B:$B,""),"")</f>
        <v>0</v>
      </c>
      <c r="F229" t="s">
        <v>44</v>
      </c>
      <c r="H229">
        <f>IFERROR(_xlfn.XLOOKUP(D229,'ITEM MASTER'!$A:$A,'ITEM MASTER'!$I:$I,"")*IF(F229="CARTON",_xlfn.XLOOKUP(D229,'ITEM MASTER'!$A:$A,'ITEM MASTER'!$H:$H,1),1),"")</f>
        <v>0</v>
      </c>
      <c r="I229">
        <f>IF(OR(C229="PURCHASE",C229="OPENING"),G229*IF(F229="CARTON",_xlfn.XLOOKUP(D229,'ITEM MASTER'!$A:$A,'ITEM MASTER'!$H:$H,1),1),0)</f>
        <v>0</v>
      </c>
      <c r="J229">
        <f>IF(C229="SALE",G229*IF(F229="CARTON",_xlfn.XLOOKUP(D229,'ITEM MASTER'!$A:$A,'ITEM MASTER'!$H:$H,1),1),0)</f>
        <v>0</v>
      </c>
      <c r="K229">
        <f>SUMIFS($I$2:I229,$D$2:D229,D229)-SUMIFS($J$2:J229,$D$2:D229,D229)</f>
        <v>0</v>
      </c>
    </row>
    <row r="230" spans="5:11" x14ac:dyDescent="0.3">
      <c r="E230">
        <f>IFERROR(_xlfn.XLOOKUP(D230,'ITEM MASTER'!$A:$A,'ITEM MASTER'!$B:$B,""),"")</f>
        <v>0</v>
      </c>
      <c r="F230" t="s">
        <v>44</v>
      </c>
      <c r="H230">
        <f>IFERROR(_xlfn.XLOOKUP(D230,'ITEM MASTER'!$A:$A,'ITEM MASTER'!$I:$I,"")*IF(F230="CARTON",_xlfn.XLOOKUP(D230,'ITEM MASTER'!$A:$A,'ITEM MASTER'!$H:$H,1),1),"")</f>
        <v>0</v>
      </c>
      <c r="I230">
        <f>IF(OR(C230="PURCHASE",C230="OPENING"),G230*IF(F230="CARTON",_xlfn.XLOOKUP(D230,'ITEM MASTER'!$A:$A,'ITEM MASTER'!$H:$H,1),1),0)</f>
        <v>0</v>
      </c>
      <c r="J230">
        <f>IF(C230="SALE",G230*IF(F230="CARTON",_xlfn.XLOOKUP(D230,'ITEM MASTER'!$A:$A,'ITEM MASTER'!$H:$H,1),1),0)</f>
        <v>0</v>
      </c>
      <c r="K230">
        <f>SUMIFS($I$2:I230,$D$2:D230,D230)-SUMIFS($J$2:J230,$D$2:D230,D230)</f>
        <v>0</v>
      </c>
    </row>
    <row r="231" spans="5:11" x14ac:dyDescent="0.3">
      <c r="E231">
        <f>IFERROR(_xlfn.XLOOKUP(D231,'ITEM MASTER'!$A:$A,'ITEM MASTER'!$B:$B,""),"")</f>
        <v>0</v>
      </c>
      <c r="F231" t="s">
        <v>44</v>
      </c>
      <c r="H231">
        <f>IFERROR(_xlfn.XLOOKUP(D231,'ITEM MASTER'!$A:$A,'ITEM MASTER'!$I:$I,"")*IF(F231="CARTON",_xlfn.XLOOKUP(D231,'ITEM MASTER'!$A:$A,'ITEM MASTER'!$H:$H,1),1),"")</f>
        <v>0</v>
      </c>
      <c r="I231">
        <f>IF(OR(C231="PURCHASE",C231="OPENING"),G231*IF(F231="CARTON",_xlfn.XLOOKUP(D231,'ITEM MASTER'!$A:$A,'ITEM MASTER'!$H:$H,1),1),0)</f>
        <v>0</v>
      </c>
      <c r="J231">
        <f>IF(C231="SALE",G231*IF(F231="CARTON",_xlfn.XLOOKUP(D231,'ITEM MASTER'!$A:$A,'ITEM MASTER'!$H:$H,1),1),0)</f>
        <v>0</v>
      </c>
      <c r="K231">
        <f>SUMIFS($I$2:I231,$D$2:D231,D231)-SUMIFS($J$2:J231,$D$2:D231,D231)</f>
        <v>0</v>
      </c>
    </row>
    <row r="232" spans="5:11" x14ac:dyDescent="0.3">
      <c r="E232">
        <f>IFERROR(_xlfn.XLOOKUP(D232,'ITEM MASTER'!$A:$A,'ITEM MASTER'!$B:$B,""),"")</f>
        <v>0</v>
      </c>
      <c r="F232" t="s">
        <v>44</v>
      </c>
      <c r="H232">
        <f>IFERROR(_xlfn.XLOOKUP(D232,'ITEM MASTER'!$A:$A,'ITEM MASTER'!$I:$I,"")*IF(F232="CARTON",_xlfn.XLOOKUP(D232,'ITEM MASTER'!$A:$A,'ITEM MASTER'!$H:$H,1),1),"")</f>
        <v>0</v>
      </c>
      <c r="I232">
        <f>IF(OR(C232="PURCHASE",C232="OPENING"),G232*IF(F232="CARTON",_xlfn.XLOOKUP(D232,'ITEM MASTER'!$A:$A,'ITEM MASTER'!$H:$H,1),1),0)</f>
        <v>0</v>
      </c>
      <c r="J232">
        <f>IF(C232="SALE",G232*IF(F232="CARTON",_xlfn.XLOOKUP(D232,'ITEM MASTER'!$A:$A,'ITEM MASTER'!$H:$H,1),1),0)</f>
        <v>0</v>
      </c>
      <c r="K232">
        <f>SUMIFS($I$2:I232,$D$2:D232,D232)-SUMIFS($J$2:J232,$D$2:D232,D232)</f>
        <v>0</v>
      </c>
    </row>
    <row r="233" spans="5:11" x14ac:dyDescent="0.3">
      <c r="E233">
        <f>IFERROR(_xlfn.XLOOKUP(D233,'ITEM MASTER'!$A:$A,'ITEM MASTER'!$B:$B,""),"")</f>
        <v>0</v>
      </c>
      <c r="F233" t="s">
        <v>44</v>
      </c>
      <c r="H233">
        <f>IFERROR(_xlfn.XLOOKUP(D233,'ITEM MASTER'!$A:$A,'ITEM MASTER'!$I:$I,"")*IF(F233="CARTON",_xlfn.XLOOKUP(D233,'ITEM MASTER'!$A:$A,'ITEM MASTER'!$H:$H,1),1),"")</f>
        <v>0</v>
      </c>
      <c r="I233">
        <f>IF(OR(C233="PURCHASE",C233="OPENING"),G233*IF(F233="CARTON",_xlfn.XLOOKUP(D233,'ITEM MASTER'!$A:$A,'ITEM MASTER'!$H:$H,1),1),0)</f>
        <v>0</v>
      </c>
      <c r="J233">
        <f>IF(C233="SALE",G233*IF(F233="CARTON",_xlfn.XLOOKUP(D233,'ITEM MASTER'!$A:$A,'ITEM MASTER'!$H:$H,1),1),0)</f>
        <v>0</v>
      </c>
      <c r="K233">
        <f>SUMIFS($I$2:I233,$D$2:D233,D233)-SUMIFS($J$2:J233,$D$2:D233,D233)</f>
        <v>0</v>
      </c>
    </row>
    <row r="234" spans="5:11" x14ac:dyDescent="0.3">
      <c r="E234">
        <f>IFERROR(_xlfn.XLOOKUP(D234,'ITEM MASTER'!$A:$A,'ITEM MASTER'!$B:$B,""),"")</f>
        <v>0</v>
      </c>
      <c r="F234" t="s">
        <v>44</v>
      </c>
      <c r="H234">
        <f>IFERROR(_xlfn.XLOOKUP(D234,'ITEM MASTER'!$A:$A,'ITEM MASTER'!$I:$I,"")*IF(F234="CARTON",_xlfn.XLOOKUP(D234,'ITEM MASTER'!$A:$A,'ITEM MASTER'!$H:$H,1),1),"")</f>
        <v>0</v>
      </c>
      <c r="I234">
        <f>IF(OR(C234="PURCHASE",C234="OPENING"),G234*IF(F234="CARTON",_xlfn.XLOOKUP(D234,'ITEM MASTER'!$A:$A,'ITEM MASTER'!$H:$H,1),1),0)</f>
        <v>0</v>
      </c>
      <c r="J234">
        <f>IF(C234="SALE",G234*IF(F234="CARTON",_xlfn.XLOOKUP(D234,'ITEM MASTER'!$A:$A,'ITEM MASTER'!$H:$H,1),1),0)</f>
        <v>0</v>
      </c>
      <c r="K234">
        <f>SUMIFS($I$2:I234,$D$2:D234,D234)-SUMIFS($J$2:J234,$D$2:D234,D234)</f>
        <v>0</v>
      </c>
    </row>
    <row r="235" spans="5:11" x14ac:dyDescent="0.3">
      <c r="E235">
        <f>IFERROR(_xlfn.XLOOKUP(D235,'ITEM MASTER'!$A:$A,'ITEM MASTER'!$B:$B,""),"")</f>
        <v>0</v>
      </c>
      <c r="F235" t="s">
        <v>44</v>
      </c>
      <c r="H235">
        <f>IFERROR(_xlfn.XLOOKUP(D235,'ITEM MASTER'!$A:$A,'ITEM MASTER'!$I:$I,"")*IF(F235="CARTON",_xlfn.XLOOKUP(D235,'ITEM MASTER'!$A:$A,'ITEM MASTER'!$H:$H,1),1),"")</f>
        <v>0</v>
      </c>
      <c r="I235">
        <f>IF(OR(C235="PURCHASE",C235="OPENING"),G235*IF(F235="CARTON",_xlfn.XLOOKUP(D235,'ITEM MASTER'!$A:$A,'ITEM MASTER'!$H:$H,1),1),0)</f>
        <v>0</v>
      </c>
      <c r="J235">
        <f>IF(C235="SALE",G235*IF(F235="CARTON",_xlfn.XLOOKUP(D235,'ITEM MASTER'!$A:$A,'ITEM MASTER'!$H:$H,1),1),0)</f>
        <v>0</v>
      </c>
      <c r="K235">
        <f>SUMIFS($I$2:I235,$D$2:D235,D235)-SUMIFS($J$2:J235,$D$2:D235,D235)</f>
        <v>0</v>
      </c>
    </row>
    <row r="236" spans="5:11" x14ac:dyDescent="0.3">
      <c r="E236">
        <f>IFERROR(_xlfn.XLOOKUP(D236,'ITEM MASTER'!$A:$A,'ITEM MASTER'!$B:$B,""),"")</f>
        <v>0</v>
      </c>
      <c r="F236" t="s">
        <v>44</v>
      </c>
      <c r="H236">
        <f>IFERROR(_xlfn.XLOOKUP(D236,'ITEM MASTER'!$A:$A,'ITEM MASTER'!$I:$I,"")*IF(F236="CARTON",_xlfn.XLOOKUP(D236,'ITEM MASTER'!$A:$A,'ITEM MASTER'!$H:$H,1),1),"")</f>
        <v>0</v>
      </c>
      <c r="I236">
        <f>IF(OR(C236="PURCHASE",C236="OPENING"),G236*IF(F236="CARTON",_xlfn.XLOOKUP(D236,'ITEM MASTER'!$A:$A,'ITEM MASTER'!$H:$H,1),1),0)</f>
        <v>0</v>
      </c>
      <c r="J236">
        <f>IF(C236="SALE",G236*IF(F236="CARTON",_xlfn.XLOOKUP(D236,'ITEM MASTER'!$A:$A,'ITEM MASTER'!$H:$H,1),1),0)</f>
        <v>0</v>
      </c>
      <c r="K236">
        <f>SUMIFS($I$2:I236,$D$2:D236,D236)-SUMIFS($J$2:J236,$D$2:D236,D236)</f>
        <v>0</v>
      </c>
    </row>
    <row r="237" spans="5:11" x14ac:dyDescent="0.3">
      <c r="E237">
        <f>IFERROR(_xlfn.XLOOKUP(D237,'ITEM MASTER'!$A:$A,'ITEM MASTER'!$B:$B,""),"")</f>
        <v>0</v>
      </c>
      <c r="F237" t="s">
        <v>44</v>
      </c>
      <c r="H237">
        <f>IFERROR(_xlfn.XLOOKUP(D237,'ITEM MASTER'!$A:$A,'ITEM MASTER'!$I:$I,"")*IF(F237="CARTON",_xlfn.XLOOKUP(D237,'ITEM MASTER'!$A:$A,'ITEM MASTER'!$H:$H,1),1),"")</f>
        <v>0</v>
      </c>
      <c r="I237">
        <f>IF(OR(C237="PURCHASE",C237="OPENING"),G237*IF(F237="CARTON",_xlfn.XLOOKUP(D237,'ITEM MASTER'!$A:$A,'ITEM MASTER'!$H:$H,1),1),0)</f>
        <v>0</v>
      </c>
      <c r="J237">
        <f>IF(C237="SALE",G237*IF(F237="CARTON",_xlfn.XLOOKUP(D237,'ITEM MASTER'!$A:$A,'ITEM MASTER'!$H:$H,1),1),0)</f>
        <v>0</v>
      </c>
      <c r="K237">
        <f>SUMIFS($I$2:I237,$D$2:D237,D237)-SUMIFS($J$2:J237,$D$2:D237,D237)</f>
        <v>0</v>
      </c>
    </row>
    <row r="238" spans="5:11" x14ac:dyDescent="0.3">
      <c r="E238">
        <f>IFERROR(_xlfn.XLOOKUP(D238,'ITEM MASTER'!$A:$A,'ITEM MASTER'!$B:$B,""),"")</f>
        <v>0</v>
      </c>
      <c r="F238" t="s">
        <v>44</v>
      </c>
      <c r="H238">
        <f>IFERROR(_xlfn.XLOOKUP(D238,'ITEM MASTER'!$A:$A,'ITEM MASTER'!$I:$I,"")*IF(F238="CARTON",_xlfn.XLOOKUP(D238,'ITEM MASTER'!$A:$A,'ITEM MASTER'!$H:$H,1),1),"")</f>
        <v>0</v>
      </c>
      <c r="I238">
        <f>IF(OR(C238="PURCHASE",C238="OPENING"),G238*IF(F238="CARTON",_xlfn.XLOOKUP(D238,'ITEM MASTER'!$A:$A,'ITEM MASTER'!$H:$H,1),1),0)</f>
        <v>0</v>
      </c>
      <c r="J238">
        <f>IF(C238="SALE",G238*IF(F238="CARTON",_xlfn.XLOOKUP(D238,'ITEM MASTER'!$A:$A,'ITEM MASTER'!$H:$H,1),1),0)</f>
        <v>0</v>
      </c>
      <c r="K238">
        <f>SUMIFS($I$2:I238,$D$2:D238,D238)-SUMIFS($J$2:J238,$D$2:D238,D238)</f>
        <v>0</v>
      </c>
    </row>
    <row r="239" spans="5:11" x14ac:dyDescent="0.3">
      <c r="E239">
        <f>IFERROR(_xlfn.XLOOKUP(D239,'ITEM MASTER'!$A:$A,'ITEM MASTER'!$B:$B,""),"")</f>
        <v>0</v>
      </c>
      <c r="F239" t="s">
        <v>44</v>
      </c>
      <c r="H239">
        <f>IFERROR(_xlfn.XLOOKUP(D239,'ITEM MASTER'!$A:$A,'ITEM MASTER'!$I:$I,"")*IF(F239="CARTON",_xlfn.XLOOKUP(D239,'ITEM MASTER'!$A:$A,'ITEM MASTER'!$H:$H,1),1),"")</f>
        <v>0</v>
      </c>
      <c r="I239">
        <f>IF(OR(C239="PURCHASE",C239="OPENING"),G239*IF(F239="CARTON",_xlfn.XLOOKUP(D239,'ITEM MASTER'!$A:$A,'ITEM MASTER'!$H:$H,1),1),0)</f>
        <v>0</v>
      </c>
      <c r="J239">
        <f>IF(C239="SALE",G239*IF(F239="CARTON",_xlfn.XLOOKUP(D239,'ITEM MASTER'!$A:$A,'ITEM MASTER'!$H:$H,1),1),0)</f>
        <v>0</v>
      </c>
      <c r="K239">
        <f>SUMIFS($I$2:I239,$D$2:D239,D239)-SUMIFS($J$2:J239,$D$2:D239,D239)</f>
        <v>0</v>
      </c>
    </row>
    <row r="240" spans="5:11" x14ac:dyDescent="0.3">
      <c r="E240">
        <f>IFERROR(_xlfn.XLOOKUP(D240,'ITEM MASTER'!$A:$A,'ITEM MASTER'!$B:$B,""),"")</f>
        <v>0</v>
      </c>
      <c r="F240" t="s">
        <v>44</v>
      </c>
      <c r="H240">
        <f>IFERROR(_xlfn.XLOOKUP(D240,'ITEM MASTER'!$A:$A,'ITEM MASTER'!$I:$I,"")*IF(F240="CARTON",_xlfn.XLOOKUP(D240,'ITEM MASTER'!$A:$A,'ITEM MASTER'!$H:$H,1),1),"")</f>
        <v>0</v>
      </c>
      <c r="I240">
        <f>IF(OR(C240="PURCHASE",C240="OPENING"),G240*IF(F240="CARTON",_xlfn.XLOOKUP(D240,'ITEM MASTER'!$A:$A,'ITEM MASTER'!$H:$H,1),1),0)</f>
        <v>0</v>
      </c>
      <c r="J240">
        <f>IF(C240="SALE",G240*IF(F240="CARTON",_xlfn.XLOOKUP(D240,'ITEM MASTER'!$A:$A,'ITEM MASTER'!$H:$H,1),1),0)</f>
        <v>0</v>
      </c>
      <c r="K240">
        <f>SUMIFS($I$2:I240,$D$2:D240,D240)-SUMIFS($J$2:J240,$D$2:D240,D240)</f>
        <v>0</v>
      </c>
    </row>
    <row r="241" spans="5:11" x14ac:dyDescent="0.3">
      <c r="E241">
        <f>IFERROR(_xlfn.XLOOKUP(D241,'ITEM MASTER'!$A:$A,'ITEM MASTER'!$B:$B,""),"")</f>
        <v>0</v>
      </c>
      <c r="F241" t="s">
        <v>44</v>
      </c>
      <c r="H241">
        <f>IFERROR(_xlfn.XLOOKUP(D241,'ITEM MASTER'!$A:$A,'ITEM MASTER'!$I:$I,"")*IF(F241="CARTON",_xlfn.XLOOKUP(D241,'ITEM MASTER'!$A:$A,'ITEM MASTER'!$H:$H,1),1),"")</f>
        <v>0</v>
      </c>
      <c r="I241">
        <f>IF(OR(C241="PURCHASE",C241="OPENING"),G241*IF(F241="CARTON",_xlfn.XLOOKUP(D241,'ITEM MASTER'!$A:$A,'ITEM MASTER'!$H:$H,1),1),0)</f>
        <v>0</v>
      </c>
      <c r="J241">
        <f>IF(C241="SALE",G241*IF(F241="CARTON",_xlfn.XLOOKUP(D241,'ITEM MASTER'!$A:$A,'ITEM MASTER'!$H:$H,1),1),0)</f>
        <v>0</v>
      </c>
      <c r="K241">
        <f>SUMIFS($I$2:I241,$D$2:D241,D241)-SUMIFS($J$2:J241,$D$2:D241,D241)</f>
        <v>0</v>
      </c>
    </row>
    <row r="242" spans="5:11" x14ac:dyDescent="0.3">
      <c r="E242">
        <f>IFERROR(_xlfn.XLOOKUP(D242,'ITEM MASTER'!$A:$A,'ITEM MASTER'!$B:$B,""),"")</f>
        <v>0</v>
      </c>
      <c r="F242" t="s">
        <v>44</v>
      </c>
      <c r="H242">
        <f>IFERROR(_xlfn.XLOOKUP(D242,'ITEM MASTER'!$A:$A,'ITEM MASTER'!$I:$I,"")*IF(F242="CARTON",_xlfn.XLOOKUP(D242,'ITEM MASTER'!$A:$A,'ITEM MASTER'!$H:$H,1),1),"")</f>
        <v>0</v>
      </c>
      <c r="I242">
        <f>IF(OR(C242="PURCHASE",C242="OPENING"),G242*IF(F242="CARTON",_xlfn.XLOOKUP(D242,'ITEM MASTER'!$A:$A,'ITEM MASTER'!$H:$H,1),1),0)</f>
        <v>0</v>
      </c>
      <c r="J242">
        <f>IF(C242="SALE",G242*IF(F242="CARTON",_xlfn.XLOOKUP(D242,'ITEM MASTER'!$A:$A,'ITEM MASTER'!$H:$H,1),1),0)</f>
        <v>0</v>
      </c>
      <c r="K242">
        <f>SUMIFS($I$2:I242,$D$2:D242,D242)-SUMIFS($J$2:J242,$D$2:D242,D242)</f>
        <v>0</v>
      </c>
    </row>
    <row r="243" spans="5:11" x14ac:dyDescent="0.3">
      <c r="E243">
        <f>IFERROR(_xlfn.XLOOKUP(D243,'ITEM MASTER'!$A:$A,'ITEM MASTER'!$B:$B,""),"")</f>
        <v>0</v>
      </c>
      <c r="F243" t="s">
        <v>44</v>
      </c>
      <c r="H243">
        <f>IFERROR(_xlfn.XLOOKUP(D243,'ITEM MASTER'!$A:$A,'ITEM MASTER'!$I:$I,"")*IF(F243="CARTON",_xlfn.XLOOKUP(D243,'ITEM MASTER'!$A:$A,'ITEM MASTER'!$H:$H,1),1),"")</f>
        <v>0</v>
      </c>
      <c r="I243">
        <f>IF(OR(C243="PURCHASE",C243="OPENING"),G243*IF(F243="CARTON",_xlfn.XLOOKUP(D243,'ITEM MASTER'!$A:$A,'ITEM MASTER'!$H:$H,1),1),0)</f>
        <v>0</v>
      </c>
      <c r="J243">
        <f>IF(C243="SALE",G243*IF(F243="CARTON",_xlfn.XLOOKUP(D243,'ITEM MASTER'!$A:$A,'ITEM MASTER'!$H:$H,1),1),0)</f>
        <v>0</v>
      </c>
      <c r="K243">
        <f>SUMIFS($I$2:I243,$D$2:D243,D243)-SUMIFS($J$2:J243,$D$2:D243,D243)</f>
        <v>0</v>
      </c>
    </row>
    <row r="244" spans="5:11" x14ac:dyDescent="0.3">
      <c r="E244">
        <f>IFERROR(_xlfn.XLOOKUP(D244,'ITEM MASTER'!$A:$A,'ITEM MASTER'!$B:$B,""),"")</f>
        <v>0</v>
      </c>
      <c r="F244" t="s">
        <v>44</v>
      </c>
      <c r="H244">
        <f>IFERROR(_xlfn.XLOOKUP(D244,'ITEM MASTER'!$A:$A,'ITEM MASTER'!$I:$I,"")*IF(F244="CARTON",_xlfn.XLOOKUP(D244,'ITEM MASTER'!$A:$A,'ITEM MASTER'!$H:$H,1),1),"")</f>
        <v>0</v>
      </c>
      <c r="I244">
        <f>IF(OR(C244="PURCHASE",C244="OPENING"),G244*IF(F244="CARTON",_xlfn.XLOOKUP(D244,'ITEM MASTER'!$A:$A,'ITEM MASTER'!$H:$H,1),1),0)</f>
        <v>0</v>
      </c>
      <c r="J244">
        <f>IF(C244="SALE",G244*IF(F244="CARTON",_xlfn.XLOOKUP(D244,'ITEM MASTER'!$A:$A,'ITEM MASTER'!$H:$H,1),1),0)</f>
        <v>0</v>
      </c>
      <c r="K244">
        <f>SUMIFS($I$2:I244,$D$2:D244,D244)-SUMIFS($J$2:J244,$D$2:D244,D244)</f>
        <v>0</v>
      </c>
    </row>
    <row r="245" spans="5:11" x14ac:dyDescent="0.3">
      <c r="E245">
        <f>IFERROR(_xlfn.XLOOKUP(D245,'ITEM MASTER'!$A:$A,'ITEM MASTER'!$B:$B,""),"")</f>
        <v>0</v>
      </c>
      <c r="F245" t="s">
        <v>44</v>
      </c>
      <c r="H245">
        <f>IFERROR(_xlfn.XLOOKUP(D245,'ITEM MASTER'!$A:$A,'ITEM MASTER'!$I:$I,"")*IF(F245="CARTON",_xlfn.XLOOKUP(D245,'ITEM MASTER'!$A:$A,'ITEM MASTER'!$H:$H,1),1),"")</f>
        <v>0</v>
      </c>
      <c r="I245">
        <f>IF(OR(C245="PURCHASE",C245="OPENING"),G245*IF(F245="CARTON",_xlfn.XLOOKUP(D245,'ITEM MASTER'!$A:$A,'ITEM MASTER'!$H:$H,1),1),0)</f>
        <v>0</v>
      </c>
      <c r="J245">
        <f>IF(C245="SALE",G245*IF(F245="CARTON",_xlfn.XLOOKUP(D245,'ITEM MASTER'!$A:$A,'ITEM MASTER'!$H:$H,1),1),0)</f>
        <v>0</v>
      </c>
      <c r="K245">
        <f>SUMIFS($I$2:I245,$D$2:D245,D245)-SUMIFS($J$2:J245,$D$2:D245,D245)</f>
        <v>0</v>
      </c>
    </row>
    <row r="246" spans="5:11" x14ac:dyDescent="0.3">
      <c r="E246">
        <f>IFERROR(_xlfn.XLOOKUP(D246,'ITEM MASTER'!$A:$A,'ITEM MASTER'!$B:$B,""),"")</f>
        <v>0</v>
      </c>
      <c r="F246" t="s">
        <v>44</v>
      </c>
      <c r="H246">
        <f>IFERROR(_xlfn.XLOOKUP(D246,'ITEM MASTER'!$A:$A,'ITEM MASTER'!$I:$I,"")*IF(F246="CARTON",_xlfn.XLOOKUP(D246,'ITEM MASTER'!$A:$A,'ITEM MASTER'!$H:$H,1),1),"")</f>
        <v>0</v>
      </c>
      <c r="I246">
        <f>IF(OR(C246="PURCHASE",C246="OPENING"),G246*IF(F246="CARTON",_xlfn.XLOOKUP(D246,'ITEM MASTER'!$A:$A,'ITEM MASTER'!$H:$H,1),1),0)</f>
        <v>0</v>
      </c>
      <c r="J246">
        <f>IF(C246="SALE",G246*IF(F246="CARTON",_xlfn.XLOOKUP(D246,'ITEM MASTER'!$A:$A,'ITEM MASTER'!$H:$H,1),1),0)</f>
        <v>0</v>
      </c>
      <c r="K246">
        <f>SUMIFS($I$2:I246,$D$2:D246,D246)-SUMIFS($J$2:J246,$D$2:D246,D246)</f>
        <v>0</v>
      </c>
    </row>
    <row r="247" spans="5:11" x14ac:dyDescent="0.3">
      <c r="E247">
        <f>IFERROR(_xlfn.XLOOKUP(D247,'ITEM MASTER'!$A:$A,'ITEM MASTER'!$B:$B,""),"")</f>
        <v>0</v>
      </c>
      <c r="F247" t="s">
        <v>44</v>
      </c>
      <c r="H247">
        <f>IFERROR(_xlfn.XLOOKUP(D247,'ITEM MASTER'!$A:$A,'ITEM MASTER'!$I:$I,"")*IF(F247="CARTON",_xlfn.XLOOKUP(D247,'ITEM MASTER'!$A:$A,'ITEM MASTER'!$H:$H,1),1),"")</f>
        <v>0</v>
      </c>
      <c r="I247">
        <f>IF(OR(C247="PURCHASE",C247="OPENING"),G247*IF(F247="CARTON",_xlfn.XLOOKUP(D247,'ITEM MASTER'!$A:$A,'ITEM MASTER'!$H:$H,1),1),0)</f>
        <v>0</v>
      </c>
      <c r="J247">
        <f>IF(C247="SALE",G247*IF(F247="CARTON",_xlfn.XLOOKUP(D247,'ITEM MASTER'!$A:$A,'ITEM MASTER'!$H:$H,1),1),0)</f>
        <v>0</v>
      </c>
      <c r="K247">
        <f>SUMIFS($I$2:I247,$D$2:D247,D247)-SUMIFS($J$2:J247,$D$2:D247,D247)</f>
        <v>0</v>
      </c>
    </row>
    <row r="248" spans="5:11" x14ac:dyDescent="0.3">
      <c r="E248">
        <f>IFERROR(_xlfn.XLOOKUP(D248,'ITEM MASTER'!$A:$A,'ITEM MASTER'!$B:$B,""),"")</f>
        <v>0</v>
      </c>
      <c r="F248" t="s">
        <v>44</v>
      </c>
      <c r="H248">
        <f>IFERROR(_xlfn.XLOOKUP(D248,'ITEM MASTER'!$A:$A,'ITEM MASTER'!$I:$I,"")*IF(F248="CARTON",_xlfn.XLOOKUP(D248,'ITEM MASTER'!$A:$A,'ITEM MASTER'!$H:$H,1),1),"")</f>
        <v>0</v>
      </c>
      <c r="I248">
        <f>IF(OR(C248="PURCHASE",C248="OPENING"),G248*IF(F248="CARTON",_xlfn.XLOOKUP(D248,'ITEM MASTER'!$A:$A,'ITEM MASTER'!$H:$H,1),1),0)</f>
        <v>0</v>
      </c>
      <c r="J248">
        <f>IF(C248="SALE",G248*IF(F248="CARTON",_xlfn.XLOOKUP(D248,'ITEM MASTER'!$A:$A,'ITEM MASTER'!$H:$H,1),1),0)</f>
        <v>0</v>
      </c>
      <c r="K248">
        <f>SUMIFS($I$2:I248,$D$2:D248,D248)-SUMIFS($J$2:J248,$D$2:D248,D248)</f>
        <v>0</v>
      </c>
    </row>
    <row r="249" spans="5:11" x14ac:dyDescent="0.3">
      <c r="E249">
        <f>IFERROR(_xlfn.XLOOKUP(D249,'ITEM MASTER'!$A:$A,'ITEM MASTER'!$B:$B,""),"")</f>
        <v>0</v>
      </c>
      <c r="F249" t="s">
        <v>44</v>
      </c>
      <c r="H249">
        <f>IFERROR(_xlfn.XLOOKUP(D249,'ITEM MASTER'!$A:$A,'ITEM MASTER'!$I:$I,"")*IF(F249="CARTON",_xlfn.XLOOKUP(D249,'ITEM MASTER'!$A:$A,'ITEM MASTER'!$H:$H,1),1),"")</f>
        <v>0</v>
      </c>
      <c r="I249">
        <f>IF(OR(C249="PURCHASE",C249="OPENING"),G249*IF(F249="CARTON",_xlfn.XLOOKUP(D249,'ITEM MASTER'!$A:$A,'ITEM MASTER'!$H:$H,1),1),0)</f>
        <v>0</v>
      </c>
      <c r="J249">
        <f>IF(C249="SALE",G249*IF(F249="CARTON",_xlfn.XLOOKUP(D249,'ITEM MASTER'!$A:$A,'ITEM MASTER'!$H:$H,1),1),0)</f>
        <v>0</v>
      </c>
      <c r="K249">
        <f>SUMIFS($I$2:I249,$D$2:D249,D249)-SUMIFS($J$2:J249,$D$2:D249,D249)</f>
        <v>0</v>
      </c>
    </row>
    <row r="250" spans="5:11" x14ac:dyDescent="0.3">
      <c r="E250">
        <f>IFERROR(_xlfn.XLOOKUP(D250,'ITEM MASTER'!$A:$A,'ITEM MASTER'!$B:$B,""),"")</f>
        <v>0</v>
      </c>
      <c r="F250" t="s">
        <v>44</v>
      </c>
      <c r="H250">
        <f>IFERROR(_xlfn.XLOOKUP(D250,'ITEM MASTER'!$A:$A,'ITEM MASTER'!$I:$I,"")*IF(F250="CARTON",_xlfn.XLOOKUP(D250,'ITEM MASTER'!$A:$A,'ITEM MASTER'!$H:$H,1),1),"")</f>
        <v>0</v>
      </c>
      <c r="I250">
        <f>IF(OR(C250="PURCHASE",C250="OPENING"),G250*IF(F250="CARTON",_xlfn.XLOOKUP(D250,'ITEM MASTER'!$A:$A,'ITEM MASTER'!$H:$H,1),1),0)</f>
        <v>0</v>
      </c>
      <c r="J250">
        <f>IF(C250="SALE",G250*IF(F250="CARTON",_xlfn.XLOOKUP(D250,'ITEM MASTER'!$A:$A,'ITEM MASTER'!$H:$H,1),1),0)</f>
        <v>0</v>
      </c>
      <c r="K250">
        <f>SUMIFS($I$2:I250,$D$2:D250,D250)-SUMIFS($J$2:J250,$D$2:D250,D250)</f>
        <v>0</v>
      </c>
    </row>
    <row r="251" spans="5:11" x14ac:dyDescent="0.3">
      <c r="E251">
        <f>IFERROR(_xlfn.XLOOKUP(D251,'ITEM MASTER'!$A:$A,'ITEM MASTER'!$B:$B,""),"")</f>
        <v>0</v>
      </c>
      <c r="F251" t="s">
        <v>44</v>
      </c>
      <c r="H251">
        <f>IFERROR(_xlfn.XLOOKUP(D251,'ITEM MASTER'!$A:$A,'ITEM MASTER'!$I:$I,"")*IF(F251="CARTON",_xlfn.XLOOKUP(D251,'ITEM MASTER'!$A:$A,'ITEM MASTER'!$H:$H,1),1),"")</f>
        <v>0</v>
      </c>
      <c r="I251">
        <f>IF(OR(C251="PURCHASE",C251="OPENING"),G251*IF(F251="CARTON",_xlfn.XLOOKUP(D251,'ITEM MASTER'!$A:$A,'ITEM MASTER'!$H:$H,1),1),0)</f>
        <v>0</v>
      </c>
      <c r="J251">
        <f>IF(C251="SALE",G251*IF(F251="CARTON",_xlfn.XLOOKUP(D251,'ITEM MASTER'!$A:$A,'ITEM MASTER'!$H:$H,1),1),0)</f>
        <v>0</v>
      </c>
      <c r="K251">
        <f>SUMIFS($I$2:I251,$D$2:D251,D251)-SUMIFS($J$2:J251,$D$2:D251,D251)</f>
        <v>0</v>
      </c>
    </row>
    <row r="252" spans="5:11" x14ac:dyDescent="0.3">
      <c r="E252">
        <f>IFERROR(_xlfn.XLOOKUP(D252,'ITEM MASTER'!$A:$A,'ITEM MASTER'!$B:$B,""),"")</f>
        <v>0</v>
      </c>
      <c r="F252" t="s">
        <v>44</v>
      </c>
      <c r="H252">
        <f>IFERROR(_xlfn.XLOOKUP(D252,'ITEM MASTER'!$A:$A,'ITEM MASTER'!$I:$I,"")*IF(F252="CARTON",_xlfn.XLOOKUP(D252,'ITEM MASTER'!$A:$A,'ITEM MASTER'!$H:$H,1),1),"")</f>
        <v>0</v>
      </c>
      <c r="I252">
        <f>IF(OR(C252="PURCHASE",C252="OPENING"),G252*IF(F252="CARTON",_xlfn.XLOOKUP(D252,'ITEM MASTER'!$A:$A,'ITEM MASTER'!$H:$H,1),1),0)</f>
        <v>0</v>
      </c>
      <c r="J252">
        <f>IF(C252="SALE",G252*IF(F252="CARTON",_xlfn.XLOOKUP(D252,'ITEM MASTER'!$A:$A,'ITEM MASTER'!$H:$H,1),1),0)</f>
        <v>0</v>
      </c>
      <c r="K252">
        <f>SUMIFS($I$2:I252,$D$2:D252,D252)-SUMIFS($J$2:J252,$D$2:D252,D252)</f>
        <v>0</v>
      </c>
    </row>
    <row r="253" spans="5:11" x14ac:dyDescent="0.3">
      <c r="E253">
        <f>IFERROR(_xlfn.XLOOKUP(D253,'ITEM MASTER'!$A:$A,'ITEM MASTER'!$B:$B,""),"")</f>
        <v>0</v>
      </c>
      <c r="F253" t="s">
        <v>44</v>
      </c>
      <c r="H253">
        <f>IFERROR(_xlfn.XLOOKUP(D253,'ITEM MASTER'!$A:$A,'ITEM MASTER'!$I:$I,"")*IF(F253="CARTON",_xlfn.XLOOKUP(D253,'ITEM MASTER'!$A:$A,'ITEM MASTER'!$H:$H,1),1),"")</f>
        <v>0</v>
      </c>
      <c r="I253">
        <f>IF(OR(C253="PURCHASE",C253="OPENING"),G253*IF(F253="CARTON",_xlfn.XLOOKUP(D253,'ITEM MASTER'!$A:$A,'ITEM MASTER'!$H:$H,1),1),0)</f>
        <v>0</v>
      </c>
      <c r="J253">
        <f>IF(C253="SALE",G253*IF(F253="CARTON",_xlfn.XLOOKUP(D253,'ITEM MASTER'!$A:$A,'ITEM MASTER'!$H:$H,1),1),0)</f>
        <v>0</v>
      </c>
      <c r="K253">
        <f>SUMIFS($I$2:I253,$D$2:D253,D253)-SUMIFS($J$2:J253,$D$2:D253,D253)</f>
        <v>0</v>
      </c>
    </row>
    <row r="254" spans="5:11" x14ac:dyDescent="0.3">
      <c r="E254">
        <f>IFERROR(_xlfn.XLOOKUP(D254,'ITEM MASTER'!$A:$A,'ITEM MASTER'!$B:$B,""),"")</f>
        <v>0</v>
      </c>
      <c r="F254" t="s">
        <v>44</v>
      </c>
      <c r="H254">
        <f>IFERROR(_xlfn.XLOOKUP(D254,'ITEM MASTER'!$A:$A,'ITEM MASTER'!$I:$I,"")*IF(F254="CARTON",_xlfn.XLOOKUP(D254,'ITEM MASTER'!$A:$A,'ITEM MASTER'!$H:$H,1),1),"")</f>
        <v>0</v>
      </c>
      <c r="I254">
        <f>IF(OR(C254="PURCHASE",C254="OPENING"),G254*IF(F254="CARTON",_xlfn.XLOOKUP(D254,'ITEM MASTER'!$A:$A,'ITEM MASTER'!$H:$H,1),1),0)</f>
        <v>0</v>
      </c>
      <c r="J254">
        <f>IF(C254="SALE",G254*IF(F254="CARTON",_xlfn.XLOOKUP(D254,'ITEM MASTER'!$A:$A,'ITEM MASTER'!$H:$H,1),1),0)</f>
        <v>0</v>
      </c>
      <c r="K254">
        <f>SUMIFS($I$2:I254,$D$2:D254,D254)-SUMIFS($J$2:J254,$D$2:D254,D254)</f>
        <v>0</v>
      </c>
    </row>
    <row r="255" spans="5:11" x14ac:dyDescent="0.3">
      <c r="E255">
        <f>IFERROR(_xlfn.XLOOKUP(D255,'ITEM MASTER'!$A:$A,'ITEM MASTER'!$B:$B,""),"")</f>
        <v>0</v>
      </c>
      <c r="F255" t="s">
        <v>44</v>
      </c>
      <c r="H255">
        <f>IFERROR(_xlfn.XLOOKUP(D255,'ITEM MASTER'!$A:$A,'ITEM MASTER'!$I:$I,"")*IF(F255="CARTON",_xlfn.XLOOKUP(D255,'ITEM MASTER'!$A:$A,'ITEM MASTER'!$H:$H,1),1),"")</f>
        <v>0</v>
      </c>
      <c r="I255">
        <f>IF(OR(C255="PURCHASE",C255="OPENING"),G255*IF(F255="CARTON",_xlfn.XLOOKUP(D255,'ITEM MASTER'!$A:$A,'ITEM MASTER'!$H:$H,1),1),0)</f>
        <v>0</v>
      </c>
      <c r="J255">
        <f>IF(C255="SALE",G255*IF(F255="CARTON",_xlfn.XLOOKUP(D255,'ITEM MASTER'!$A:$A,'ITEM MASTER'!$H:$H,1),1),0)</f>
        <v>0</v>
      </c>
      <c r="K255">
        <f>SUMIFS($I$2:I255,$D$2:D255,D255)-SUMIFS($J$2:J255,$D$2:D255,D255)</f>
        <v>0</v>
      </c>
    </row>
    <row r="256" spans="5:11" x14ac:dyDescent="0.3">
      <c r="E256">
        <f>IFERROR(_xlfn.XLOOKUP(D256,'ITEM MASTER'!$A:$A,'ITEM MASTER'!$B:$B,""),"")</f>
        <v>0</v>
      </c>
      <c r="F256" t="s">
        <v>44</v>
      </c>
      <c r="H256">
        <f>IFERROR(_xlfn.XLOOKUP(D256,'ITEM MASTER'!$A:$A,'ITEM MASTER'!$I:$I,"")*IF(F256="CARTON",_xlfn.XLOOKUP(D256,'ITEM MASTER'!$A:$A,'ITEM MASTER'!$H:$H,1),1),"")</f>
        <v>0</v>
      </c>
      <c r="I256">
        <f>IF(OR(C256="PURCHASE",C256="OPENING"),G256*IF(F256="CARTON",_xlfn.XLOOKUP(D256,'ITEM MASTER'!$A:$A,'ITEM MASTER'!$H:$H,1),1),0)</f>
        <v>0</v>
      </c>
      <c r="J256">
        <f>IF(C256="SALE",G256*IF(F256="CARTON",_xlfn.XLOOKUP(D256,'ITEM MASTER'!$A:$A,'ITEM MASTER'!$H:$H,1),1),0)</f>
        <v>0</v>
      </c>
      <c r="K256">
        <f>SUMIFS($I$2:I256,$D$2:D256,D256)-SUMIFS($J$2:J256,$D$2:D256,D256)</f>
        <v>0</v>
      </c>
    </row>
    <row r="257" spans="5:11" x14ac:dyDescent="0.3">
      <c r="E257">
        <f>IFERROR(_xlfn.XLOOKUP(D257,'ITEM MASTER'!$A:$A,'ITEM MASTER'!$B:$B,""),"")</f>
        <v>0</v>
      </c>
      <c r="F257" t="s">
        <v>44</v>
      </c>
      <c r="H257">
        <f>IFERROR(_xlfn.XLOOKUP(D257,'ITEM MASTER'!$A:$A,'ITEM MASTER'!$I:$I,"")*IF(F257="CARTON",_xlfn.XLOOKUP(D257,'ITEM MASTER'!$A:$A,'ITEM MASTER'!$H:$H,1),1),"")</f>
        <v>0</v>
      </c>
      <c r="I257">
        <f>IF(OR(C257="PURCHASE",C257="OPENING"),G257*IF(F257="CARTON",_xlfn.XLOOKUP(D257,'ITEM MASTER'!$A:$A,'ITEM MASTER'!$H:$H,1),1),0)</f>
        <v>0</v>
      </c>
      <c r="J257">
        <f>IF(C257="SALE",G257*IF(F257="CARTON",_xlfn.XLOOKUP(D257,'ITEM MASTER'!$A:$A,'ITEM MASTER'!$H:$H,1),1),0)</f>
        <v>0</v>
      </c>
      <c r="K257">
        <f>SUMIFS($I$2:I257,$D$2:D257,D257)-SUMIFS($J$2:J257,$D$2:D257,D257)</f>
        <v>0</v>
      </c>
    </row>
    <row r="258" spans="5:11" x14ac:dyDescent="0.3">
      <c r="E258">
        <f>IFERROR(_xlfn.XLOOKUP(D258,'ITEM MASTER'!$A:$A,'ITEM MASTER'!$B:$B,""),"")</f>
        <v>0</v>
      </c>
      <c r="F258" t="s">
        <v>44</v>
      </c>
      <c r="H258">
        <f>IFERROR(_xlfn.XLOOKUP(D258,'ITEM MASTER'!$A:$A,'ITEM MASTER'!$I:$I,"")*IF(F258="CARTON",_xlfn.XLOOKUP(D258,'ITEM MASTER'!$A:$A,'ITEM MASTER'!$H:$H,1),1),"")</f>
        <v>0</v>
      </c>
      <c r="I258">
        <f>IF(OR(C258="PURCHASE",C258="OPENING"),G258*IF(F258="CARTON",_xlfn.XLOOKUP(D258,'ITEM MASTER'!$A:$A,'ITEM MASTER'!$H:$H,1),1),0)</f>
        <v>0</v>
      </c>
      <c r="J258">
        <f>IF(C258="SALE",G258*IF(F258="CARTON",_xlfn.XLOOKUP(D258,'ITEM MASTER'!$A:$A,'ITEM MASTER'!$H:$H,1),1),0)</f>
        <v>0</v>
      </c>
      <c r="K258">
        <f>SUMIFS($I$2:I258,$D$2:D258,D258)-SUMIFS($J$2:J258,$D$2:D258,D258)</f>
        <v>0</v>
      </c>
    </row>
    <row r="259" spans="5:11" x14ac:dyDescent="0.3">
      <c r="E259">
        <f>IFERROR(_xlfn.XLOOKUP(D259,'ITEM MASTER'!$A:$A,'ITEM MASTER'!$B:$B,""),"")</f>
        <v>0</v>
      </c>
      <c r="F259" t="s">
        <v>44</v>
      </c>
      <c r="H259">
        <f>IFERROR(_xlfn.XLOOKUP(D259,'ITEM MASTER'!$A:$A,'ITEM MASTER'!$I:$I,"")*IF(F259="CARTON",_xlfn.XLOOKUP(D259,'ITEM MASTER'!$A:$A,'ITEM MASTER'!$H:$H,1),1),"")</f>
        <v>0</v>
      </c>
      <c r="I259">
        <f>IF(OR(C259="PURCHASE",C259="OPENING"),G259*IF(F259="CARTON",_xlfn.XLOOKUP(D259,'ITEM MASTER'!$A:$A,'ITEM MASTER'!$H:$H,1),1),0)</f>
        <v>0</v>
      </c>
      <c r="J259">
        <f>IF(C259="SALE",G259*IF(F259="CARTON",_xlfn.XLOOKUP(D259,'ITEM MASTER'!$A:$A,'ITEM MASTER'!$H:$H,1),1),0)</f>
        <v>0</v>
      </c>
      <c r="K259">
        <f>SUMIFS($I$2:I259,$D$2:D259,D259)-SUMIFS($J$2:J259,$D$2:D259,D259)</f>
        <v>0</v>
      </c>
    </row>
    <row r="260" spans="5:11" x14ac:dyDescent="0.3">
      <c r="E260">
        <f>IFERROR(_xlfn.XLOOKUP(D260,'ITEM MASTER'!$A:$A,'ITEM MASTER'!$B:$B,""),"")</f>
        <v>0</v>
      </c>
      <c r="F260" t="s">
        <v>44</v>
      </c>
      <c r="H260">
        <f>IFERROR(_xlfn.XLOOKUP(D260,'ITEM MASTER'!$A:$A,'ITEM MASTER'!$I:$I,"")*IF(F260="CARTON",_xlfn.XLOOKUP(D260,'ITEM MASTER'!$A:$A,'ITEM MASTER'!$H:$H,1),1),"")</f>
        <v>0</v>
      </c>
      <c r="I260">
        <f>IF(OR(C260="PURCHASE",C260="OPENING"),G260*IF(F260="CARTON",_xlfn.XLOOKUP(D260,'ITEM MASTER'!$A:$A,'ITEM MASTER'!$H:$H,1),1),0)</f>
        <v>0</v>
      </c>
      <c r="J260">
        <f>IF(C260="SALE",G260*IF(F260="CARTON",_xlfn.XLOOKUP(D260,'ITEM MASTER'!$A:$A,'ITEM MASTER'!$H:$H,1),1),0)</f>
        <v>0</v>
      </c>
      <c r="K260">
        <f>SUMIFS($I$2:I260,$D$2:D260,D260)-SUMIFS($J$2:J260,$D$2:D260,D260)</f>
        <v>0</v>
      </c>
    </row>
    <row r="261" spans="5:11" x14ac:dyDescent="0.3">
      <c r="E261">
        <f>IFERROR(_xlfn.XLOOKUP(D261,'ITEM MASTER'!$A:$A,'ITEM MASTER'!$B:$B,""),"")</f>
        <v>0</v>
      </c>
      <c r="F261" t="s">
        <v>44</v>
      </c>
      <c r="H261">
        <f>IFERROR(_xlfn.XLOOKUP(D261,'ITEM MASTER'!$A:$A,'ITEM MASTER'!$I:$I,"")*IF(F261="CARTON",_xlfn.XLOOKUP(D261,'ITEM MASTER'!$A:$A,'ITEM MASTER'!$H:$H,1),1),"")</f>
        <v>0</v>
      </c>
      <c r="I261">
        <f>IF(OR(C261="PURCHASE",C261="OPENING"),G261*IF(F261="CARTON",_xlfn.XLOOKUP(D261,'ITEM MASTER'!$A:$A,'ITEM MASTER'!$H:$H,1),1),0)</f>
        <v>0</v>
      </c>
      <c r="J261">
        <f>IF(C261="SALE",G261*IF(F261="CARTON",_xlfn.XLOOKUP(D261,'ITEM MASTER'!$A:$A,'ITEM MASTER'!$H:$H,1),1),0)</f>
        <v>0</v>
      </c>
      <c r="K261">
        <f>SUMIFS($I$2:I261,$D$2:D261,D261)-SUMIFS($J$2:J261,$D$2:D261,D261)</f>
        <v>0</v>
      </c>
    </row>
    <row r="262" spans="5:11" x14ac:dyDescent="0.3">
      <c r="E262">
        <f>IFERROR(_xlfn.XLOOKUP(D262,'ITEM MASTER'!$A:$A,'ITEM MASTER'!$B:$B,""),"")</f>
        <v>0</v>
      </c>
      <c r="F262" t="s">
        <v>44</v>
      </c>
      <c r="H262">
        <f>IFERROR(_xlfn.XLOOKUP(D262,'ITEM MASTER'!$A:$A,'ITEM MASTER'!$I:$I,"")*IF(F262="CARTON",_xlfn.XLOOKUP(D262,'ITEM MASTER'!$A:$A,'ITEM MASTER'!$H:$H,1),1),"")</f>
        <v>0</v>
      </c>
      <c r="I262">
        <f>IF(OR(C262="PURCHASE",C262="OPENING"),G262*IF(F262="CARTON",_xlfn.XLOOKUP(D262,'ITEM MASTER'!$A:$A,'ITEM MASTER'!$H:$H,1),1),0)</f>
        <v>0</v>
      </c>
      <c r="J262">
        <f>IF(C262="SALE",G262*IF(F262="CARTON",_xlfn.XLOOKUP(D262,'ITEM MASTER'!$A:$A,'ITEM MASTER'!$H:$H,1),1),0)</f>
        <v>0</v>
      </c>
      <c r="K262">
        <f>SUMIFS($I$2:I262,$D$2:D262,D262)-SUMIFS($J$2:J262,$D$2:D262,D262)</f>
        <v>0</v>
      </c>
    </row>
    <row r="263" spans="5:11" x14ac:dyDescent="0.3">
      <c r="E263">
        <f>IFERROR(_xlfn.XLOOKUP(D263,'ITEM MASTER'!$A:$A,'ITEM MASTER'!$B:$B,""),"")</f>
        <v>0</v>
      </c>
      <c r="F263" t="s">
        <v>44</v>
      </c>
      <c r="H263">
        <f>IFERROR(_xlfn.XLOOKUP(D263,'ITEM MASTER'!$A:$A,'ITEM MASTER'!$I:$I,"")*IF(F263="CARTON",_xlfn.XLOOKUP(D263,'ITEM MASTER'!$A:$A,'ITEM MASTER'!$H:$H,1),1),"")</f>
        <v>0</v>
      </c>
      <c r="I263">
        <f>IF(OR(C263="PURCHASE",C263="OPENING"),G263*IF(F263="CARTON",_xlfn.XLOOKUP(D263,'ITEM MASTER'!$A:$A,'ITEM MASTER'!$H:$H,1),1),0)</f>
        <v>0</v>
      </c>
      <c r="J263">
        <f>IF(C263="SALE",G263*IF(F263="CARTON",_xlfn.XLOOKUP(D263,'ITEM MASTER'!$A:$A,'ITEM MASTER'!$H:$H,1),1),0)</f>
        <v>0</v>
      </c>
      <c r="K263">
        <f>SUMIFS($I$2:I263,$D$2:D263,D263)-SUMIFS($J$2:J263,$D$2:D263,D263)</f>
        <v>0</v>
      </c>
    </row>
    <row r="264" spans="5:11" x14ac:dyDescent="0.3">
      <c r="E264">
        <f>IFERROR(_xlfn.XLOOKUP(D264,'ITEM MASTER'!$A:$A,'ITEM MASTER'!$B:$B,""),"")</f>
        <v>0</v>
      </c>
      <c r="F264" t="s">
        <v>44</v>
      </c>
      <c r="H264">
        <f>IFERROR(_xlfn.XLOOKUP(D264,'ITEM MASTER'!$A:$A,'ITEM MASTER'!$I:$I,"")*IF(F264="CARTON",_xlfn.XLOOKUP(D264,'ITEM MASTER'!$A:$A,'ITEM MASTER'!$H:$H,1),1),"")</f>
        <v>0</v>
      </c>
      <c r="I264">
        <f>IF(OR(C264="PURCHASE",C264="OPENING"),G264*IF(F264="CARTON",_xlfn.XLOOKUP(D264,'ITEM MASTER'!$A:$A,'ITEM MASTER'!$H:$H,1),1),0)</f>
        <v>0</v>
      </c>
      <c r="J264">
        <f>IF(C264="SALE",G264*IF(F264="CARTON",_xlfn.XLOOKUP(D264,'ITEM MASTER'!$A:$A,'ITEM MASTER'!$H:$H,1),1),0)</f>
        <v>0</v>
      </c>
      <c r="K264">
        <f>SUMIFS($I$2:I264,$D$2:D264,D264)-SUMIFS($J$2:J264,$D$2:D264,D264)</f>
        <v>0</v>
      </c>
    </row>
    <row r="265" spans="5:11" x14ac:dyDescent="0.3">
      <c r="E265">
        <f>IFERROR(_xlfn.XLOOKUP(D265,'ITEM MASTER'!$A:$A,'ITEM MASTER'!$B:$B,""),"")</f>
        <v>0</v>
      </c>
      <c r="F265" t="s">
        <v>44</v>
      </c>
      <c r="H265">
        <f>IFERROR(_xlfn.XLOOKUP(D265,'ITEM MASTER'!$A:$A,'ITEM MASTER'!$I:$I,"")*IF(F265="CARTON",_xlfn.XLOOKUP(D265,'ITEM MASTER'!$A:$A,'ITEM MASTER'!$H:$H,1),1),"")</f>
        <v>0</v>
      </c>
      <c r="I265">
        <f>IF(OR(C265="PURCHASE",C265="OPENING"),G265*IF(F265="CARTON",_xlfn.XLOOKUP(D265,'ITEM MASTER'!$A:$A,'ITEM MASTER'!$H:$H,1),1),0)</f>
        <v>0</v>
      </c>
      <c r="J265">
        <f>IF(C265="SALE",G265*IF(F265="CARTON",_xlfn.XLOOKUP(D265,'ITEM MASTER'!$A:$A,'ITEM MASTER'!$H:$H,1),1),0)</f>
        <v>0</v>
      </c>
      <c r="K265">
        <f>SUMIFS($I$2:I265,$D$2:D265,D265)-SUMIFS($J$2:J265,$D$2:D265,D265)</f>
        <v>0</v>
      </c>
    </row>
    <row r="266" spans="5:11" x14ac:dyDescent="0.3">
      <c r="E266">
        <f>IFERROR(_xlfn.XLOOKUP(D266,'ITEM MASTER'!$A:$A,'ITEM MASTER'!$B:$B,""),"")</f>
        <v>0</v>
      </c>
      <c r="F266" t="s">
        <v>44</v>
      </c>
      <c r="H266">
        <f>IFERROR(_xlfn.XLOOKUP(D266,'ITEM MASTER'!$A:$A,'ITEM MASTER'!$I:$I,"")*IF(F266="CARTON",_xlfn.XLOOKUP(D266,'ITEM MASTER'!$A:$A,'ITEM MASTER'!$H:$H,1),1),"")</f>
        <v>0</v>
      </c>
      <c r="I266">
        <f>IF(OR(C266="PURCHASE",C266="OPENING"),G266*IF(F266="CARTON",_xlfn.XLOOKUP(D266,'ITEM MASTER'!$A:$A,'ITEM MASTER'!$H:$H,1),1),0)</f>
        <v>0</v>
      </c>
      <c r="J266">
        <f>IF(C266="SALE",G266*IF(F266="CARTON",_xlfn.XLOOKUP(D266,'ITEM MASTER'!$A:$A,'ITEM MASTER'!$H:$H,1),1),0)</f>
        <v>0</v>
      </c>
      <c r="K266">
        <f>SUMIFS($I$2:I266,$D$2:D266,D266)-SUMIFS($J$2:J266,$D$2:D266,D266)</f>
        <v>0</v>
      </c>
    </row>
    <row r="267" spans="5:11" x14ac:dyDescent="0.3">
      <c r="E267">
        <f>IFERROR(_xlfn.XLOOKUP(D267,'ITEM MASTER'!$A:$A,'ITEM MASTER'!$B:$B,""),"")</f>
        <v>0</v>
      </c>
      <c r="F267" t="s">
        <v>44</v>
      </c>
      <c r="H267">
        <f>IFERROR(_xlfn.XLOOKUP(D267,'ITEM MASTER'!$A:$A,'ITEM MASTER'!$I:$I,"")*IF(F267="CARTON",_xlfn.XLOOKUP(D267,'ITEM MASTER'!$A:$A,'ITEM MASTER'!$H:$H,1),1),"")</f>
        <v>0</v>
      </c>
      <c r="I267">
        <f>IF(OR(C267="PURCHASE",C267="OPENING"),G267*IF(F267="CARTON",_xlfn.XLOOKUP(D267,'ITEM MASTER'!$A:$A,'ITEM MASTER'!$H:$H,1),1),0)</f>
        <v>0</v>
      </c>
      <c r="J267">
        <f>IF(C267="SALE",G267*IF(F267="CARTON",_xlfn.XLOOKUP(D267,'ITEM MASTER'!$A:$A,'ITEM MASTER'!$H:$H,1),1),0)</f>
        <v>0</v>
      </c>
      <c r="K267">
        <f>SUMIFS($I$2:I267,$D$2:D267,D267)-SUMIFS($J$2:J267,$D$2:D267,D267)</f>
        <v>0</v>
      </c>
    </row>
    <row r="268" spans="5:11" x14ac:dyDescent="0.3">
      <c r="E268">
        <f>IFERROR(_xlfn.XLOOKUP(D268,'ITEM MASTER'!$A:$A,'ITEM MASTER'!$B:$B,""),"")</f>
        <v>0</v>
      </c>
      <c r="F268" t="s">
        <v>44</v>
      </c>
      <c r="H268">
        <f>IFERROR(_xlfn.XLOOKUP(D268,'ITEM MASTER'!$A:$A,'ITEM MASTER'!$I:$I,"")*IF(F268="CARTON",_xlfn.XLOOKUP(D268,'ITEM MASTER'!$A:$A,'ITEM MASTER'!$H:$H,1),1),"")</f>
        <v>0</v>
      </c>
      <c r="I268">
        <f>IF(OR(C268="PURCHASE",C268="OPENING"),G268*IF(F268="CARTON",_xlfn.XLOOKUP(D268,'ITEM MASTER'!$A:$A,'ITEM MASTER'!$H:$H,1),1),0)</f>
        <v>0</v>
      </c>
      <c r="J268">
        <f>IF(C268="SALE",G268*IF(F268="CARTON",_xlfn.XLOOKUP(D268,'ITEM MASTER'!$A:$A,'ITEM MASTER'!$H:$H,1),1),0)</f>
        <v>0</v>
      </c>
      <c r="K268">
        <f>SUMIFS($I$2:I268,$D$2:D268,D268)-SUMIFS($J$2:J268,$D$2:D268,D268)</f>
        <v>0</v>
      </c>
    </row>
    <row r="269" spans="5:11" x14ac:dyDescent="0.3">
      <c r="E269">
        <f>IFERROR(_xlfn.XLOOKUP(D269,'ITEM MASTER'!$A:$A,'ITEM MASTER'!$B:$B,""),"")</f>
        <v>0</v>
      </c>
      <c r="F269" t="s">
        <v>44</v>
      </c>
      <c r="H269">
        <f>IFERROR(_xlfn.XLOOKUP(D269,'ITEM MASTER'!$A:$A,'ITEM MASTER'!$I:$I,"")*IF(F269="CARTON",_xlfn.XLOOKUP(D269,'ITEM MASTER'!$A:$A,'ITEM MASTER'!$H:$H,1),1),"")</f>
        <v>0</v>
      </c>
      <c r="I269">
        <f>IF(OR(C269="PURCHASE",C269="OPENING"),G269*IF(F269="CARTON",_xlfn.XLOOKUP(D269,'ITEM MASTER'!$A:$A,'ITEM MASTER'!$H:$H,1),1),0)</f>
        <v>0</v>
      </c>
      <c r="J269">
        <f>IF(C269="SALE",G269*IF(F269="CARTON",_xlfn.XLOOKUP(D269,'ITEM MASTER'!$A:$A,'ITEM MASTER'!$H:$H,1),1),0)</f>
        <v>0</v>
      </c>
      <c r="K269">
        <f>SUMIFS($I$2:I269,$D$2:D269,D269)-SUMIFS($J$2:J269,$D$2:D269,D269)</f>
        <v>0</v>
      </c>
    </row>
    <row r="270" spans="5:11" x14ac:dyDescent="0.3">
      <c r="E270">
        <f>IFERROR(_xlfn.XLOOKUP(D270,'ITEM MASTER'!$A:$A,'ITEM MASTER'!$B:$B,""),"")</f>
        <v>0</v>
      </c>
      <c r="F270" t="s">
        <v>44</v>
      </c>
      <c r="H270">
        <f>IFERROR(_xlfn.XLOOKUP(D270,'ITEM MASTER'!$A:$A,'ITEM MASTER'!$I:$I,"")*IF(F270="CARTON",_xlfn.XLOOKUP(D270,'ITEM MASTER'!$A:$A,'ITEM MASTER'!$H:$H,1),1),"")</f>
        <v>0</v>
      </c>
      <c r="I270">
        <f>IF(OR(C270="PURCHASE",C270="OPENING"),G270*IF(F270="CARTON",_xlfn.XLOOKUP(D270,'ITEM MASTER'!$A:$A,'ITEM MASTER'!$H:$H,1),1),0)</f>
        <v>0</v>
      </c>
      <c r="J270">
        <f>IF(C270="SALE",G270*IF(F270="CARTON",_xlfn.XLOOKUP(D270,'ITEM MASTER'!$A:$A,'ITEM MASTER'!$H:$H,1),1),0)</f>
        <v>0</v>
      </c>
      <c r="K270">
        <f>SUMIFS($I$2:I270,$D$2:D270,D270)-SUMIFS($J$2:J270,$D$2:D270,D270)</f>
        <v>0</v>
      </c>
    </row>
    <row r="271" spans="5:11" x14ac:dyDescent="0.3">
      <c r="E271">
        <f>IFERROR(_xlfn.XLOOKUP(D271,'ITEM MASTER'!$A:$A,'ITEM MASTER'!$B:$B,""),"")</f>
        <v>0</v>
      </c>
      <c r="F271" t="s">
        <v>44</v>
      </c>
      <c r="H271">
        <f>IFERROR(_xlfn.XLOOKUP(D271,'ITEM MASTER'!$A:$A,'ITEM MASTER'!$I:$I,"")*IF(F271="CARTON",_xlfn.XLOOKUP(D271,'ITEM MASTER'!$A:$A,'ITEM MASTER'!$H:$H,1),1),"")</f>
        <v>0</v>
      </c>
      <c r="I271">
        <f>IF(OR(C271="PURCHASE",C271="OPENING"),G271*IF(F271="CARTON",_xlfn.XLOOKUP(D271,'ITEM MASTER'!$A:$A,'ITEM MASTER'!$H:$H,1),1),0)</f>
        <v>0</v>
      </c>
      <c r="J271">
        <f>IF(C271="SALE",G271*IF(F271="CARTON",_xlfn.XLOOKUP(D271,'ITEM MASTER'!$A:$A,'ITEM MASTER'!$H:$H,1),1),0)</f>
        <v>0</v>
      </c>
      <c r="K271">
        <f>SUMIFS($I$2:I271,$D$2:D271,D271)-SUMIFS($J$2:J271,$D$2:D271,D271)</f>
        <v>0</v>
      </c>
    </row>
    <row r="272" spans="5:11" x14ac:dyDescent="0.3">
      <c r="E272">
        <f>IFERROR(_xlfn.XLOOKUP(D272,'ITEM MASTER'!$A:$A,'ITEM MASTER'!$B:$B,""),"")</f>
        <v>0</v>
      </c>
      <c r="F272" t="s">
        <v>44</v>
      </c>
      <c r="H272">
        <f>IFERROR(_xlfn.XLOOKUP(D272,'ITEM MASTER'!$A:$A,'ITEM MASTER'!$I:$I,"")*IF(F272="CARTON",_xlfn.XLOOKUP(D272,'ITEM MASTER'!$A:$A,'ITEM MASTER'!$H:$H,1),1),"")</f>
        <v>0</v>
      </c>
      <c r="I272">
        <f>IF(OR(C272="PURCHASE",C272="OPENING"),G272*IF(F272="CARTON",_xlfn.XLOOKUP(D272,'ITEM MASTER'!$A:$A,'ITEM MASTER'!$H:$H,1),1),0)</f>
        <v>0</v>
      </c>
      <c r="J272">
        <f>IF(C272="SALE",G272*IF(F272="CARTON",_xlfn.XLOOKUP(D272,'ITEM MASTER'!$A:$A,'ITEM MASTER'!$H:$H,1),1),0)</f>
        <v>0</v>
      </c>
      <c r="K272">
        <f>SUMIFS($I$2:I272,$D$2:D272,D272)-SUMIFS($J$2:J272,$D$2:D272,D272)</f>
        <v>0</v>
      </c>
    </row>
    <row r="273" spans="5:11" x14ac:dyDescent="0.3">
      <c r="E273">
        <f>IFERROR(_xlfn.XLOOKUP(D273,'ITEM MASTER'!$A:$A,'ITEM MASTER'!$B:$B,""),"")</f>
        <v>0</v>
      </c>
      <c r="F273" t="s">
        <v>44</v>
      </c>
      <c r="H273">
        <f>IFERROR(_xlfn.XLOOKUP(D273,'ITEM MASTER'!$A:$A,'ITEM MASTER'!$I:$I,"")*IF(F273="CARTON",_xlfn.XLOOKUP(D273,'ITEM MASTER'!$A:$A,'ITEM MASTER'!$H:$H,1),1),"")</f>
        <v>0</v>
      </c>
      <c r="I273">
        <f>IF(OR(C273="PURCHASE",C273="OPENING"),G273*IF(F273="CARTON",_xlfn.XLOOKUP(D273,'ITEM MASTER'!$A:$A,'ITEM MASTER'!$H:$H,1),1),0)</f>
        <v>0</v>
      </c>
      <c r="J273">
        <f>IF(C273="SALE",G273*IF(F273="CARTON",_xlfn.XLOOKUP(D273,'ITEM MASTER'!$A:$A,'ITEM MASTER'!$H:$H,1),1),0)</f>
        <v>0</v>
      </c>
      <c r="K273">
        <f>SUMIFS($I$2:I273,$D$2:D273,D273)-SUMIFS($J$2:J273,$D$2:D273,D273)</f>
        <v>0</v>
      </c>
    </row>
    <row r="274" spans="5:11" x14ac:dyDescent="0.3">
      <c r="E274">
        <f>IFERROR(_xlfn.XLOOKUP(D274,'ITEM MASTER'!$A:$A,'ITEM MASTER'!$B:$B,""),"")</f>
        <v>0</v>
      </c>
      <c r="F274" t="s">
        <v>44</v>
      </c>
      <c r="H274">
        <f>IFERROR(_xlfn.XLOOKUP(D274,'ITEM MASTER'!$A:$A,'ITEM MASTER'!$I:$I,"")*IF(F274="CARTON",_xlfn.XLOOKUP(D274,'ITEM MASTER'!$A:$A,'ITEM MASTER'!$H:$H,1),1),"")</f>
        <v>0</v>
      </c>
      <c r="I274">
        <f>IF(OR(C274="PURCHASE",C274="OPENING"),G274*IF(F274="CARTON",_xlfn.XLOOKUP(D274,'ITEM MASTER'!$A:$A,'ITEM MASTER'!$H:$H,1),1),0)</f>
        <v>0</v>
      </c>
      <c r="J274">
        <f>IF(C274="SALE",G274*IF(F274="CARTON",_xlfn.XLOOKUP(D274,'ITEM MASTER'!$A:$A,'ITEM MASTER'!$H:$H,1),1),0)</f>
        <v>0</v>
      </c>
      <c r="K274">
        <f>SUMIFS($I$2:I274,$D$2:D274,D274)-SUMIFS($J$2:J274,$D$2:D274,D274)</f>
        <v>0</v>
      </c>
    </row>
    <row r="275" spans="5:11" x14ac:dyDescent="0.3">
      <c r="E275">
        <f>IFERROR(_xlfn.XLOOKUP(D275,'ITEM MASTER'!$A:$A,'ITEM MASTER'!$B:$B,""),"")</f>
        <v>0</v>
      </c>
      <c r="F275" t="s">
        <v>44</v>
      </c>
      <c r="H275">
        <f>IFERROR(_xlfn.XLOOKUP(D275,'ITEM MASTER'!$A:$A,'ITEM MASTER'!$I:$I,"")*IF(F275="CARTON",_xlfn.XLOOKUP(D275,'ITEM MASTER'!$A:$A,'ITEM MASTER'!$H:$H,1),1),"")</f>
        <v>0</v>
      </c>
      <c r="I275">
        <f>IF(OR(C275="PURCHASE",C275="OPENING"),G275*IF(F275="CARTON",_xlfn.XLOOKUP(D275,'ITEM MASTER'!$A:$A,'ITEM MASTER'!$H:$H,1),1),0)</f>
        <v>0</v>
      </c>
      <c r="J275">
        <f>IF(C275="SALE",G275*IF(F275="CARTON",_xlfn.XLOOKUP(D275,'ITEM MASTER'!$A:$A,'ITEM MASTER'!$H:$H,1),1),0)</f>
        <v>0</v>
      </c>
      <c r="K275">
        <f>SUMIFS($I$2:I275,$D$2:D275,D275)-SUMIFS($J$2:J275,$D$2:D275,D275)</f>
        <v>0</v>
      </c>
    </row>
    <row r="276" spans="5:11" x14ac:dyDescent="0.3">
      <c r="E276">
        <f>IFERROR(_xlfn.XLOOKUP(D276,'ITEM MASTER'!$A:$A,'ITEM MASTER'!$B:$B,""),"")</f>
        <v>0</v>
      </c>
      <c r="F276" t="s">
        <v>44</v>
      </c>
      <c r="H276">
        <f>IFERROR(_xlfn.XLOOKUP(D276,'ITEM MASTER'!$A:$A,'ITEM MASTER'!$I:$I,"")*IF(F276="CARTON",_xlfn.XLOOKUP(D276,'ITEM MASTER'!$A:$A,'ITEM MASTER'!$H:$H,1),1),"")</f>
        <v>0</v>
      </c>
      <c r="I276">
        <f>IF(OR(C276="PURCHASE",C276="OPENING"),G276*IF(F276="CARTON",_xlfn.XLOOKUP(D276,'ITEM MASTER'!$A:$A,'ITEM MASTER'!$H:$H,1),1),0)</f>
        <v>0</v>
      </c>
      <c r="J276">
        <f>IF(C276="SALE",G276*IF(F276="CARTON",_xlfn.XLOOKUP(D276,'ITEM MASTER'!$A:$A,'ITEM MASTER'!$H:$H,1),1),0)</f>
        <v>0</v>
      </c>
      <c r="K276">
        <f>SUMIFS($I$2:I276,$D$2:D276,D276)-SUMIFS($J$2:J276,$D$2:D276,D276)</f>
        <v>0</v>
      </c>
    </row>
    <row r="277" spans="5:11" x14ac:dyDescent="0.3">
      <c r="E277">
        <f>IFERROR(_xlfn.XLOOKUP(D277,'ITEM MASTER'!$A:$A,'ITEM MASTER'!$B:$B,""),"")</f>
        <v>0</v>
      </c>
      <c r="F277" t="s">
        <v>44</v>
      </c>
      <c r="H277">
        <f>IFERROR(_xlfn.XLOOKUP(D277,'ITEM MASTER'!$A:$A,'ITEM MASTER'!$I:$I,"")*IF(F277="CARTON",_xlfn.XLOOKUP(D277,'ITEM MASTER'!$A:$A,'ITEM MASTER'!$H:$H,1),1),"")</f>
        <v>0</v>
      </c>
      <c r="I277">
        <f>IF(OR(C277="PURCHASE",C277="OPENING"),G277*IF(F277="CARTON",_xlfn.XLOOKUP(D277,'ITEM MASTER'!$A:$A,'ITEM MASTER'!$H:$H,1),1),0)</f>
        <v>0</v>
      </c>
      <c r="J277">
        <f>IF(C277="SALE",G277*IF(F277="CARTON",_xlfn.XLOOKUP(D277,'ITEM MASTER'!$A:$A,'ITEM MASTER'!$H:$H,1),1),0)</f>
        <v>0</v>
      </c>
      <c r="K277">
        <f>SUMIFS($I$2:I277,$D$2:D277,D277)-SUMIFS($J$2:J277,$D$2:D277,D277)</f>
        <v>0</v>
      </c>
    </row>
    <row r="278" spans="5:11" x14ac:dyDescent="0.3">
      <c r="E278">
        <f>IFERROR(_xlfn.XLOOKUP(D278,'ITEM MASTER'!$A:$A,'ITEM MASTER'!$B:$B,""),"")</f>
        <v>0</v>
      </c>
      <c r="F278" t="s">
        <v>44</v>
      </c>
      <c r="H278">
        <f>IFERROR(_xlfn.XLOOKUP(D278,'ITEM MASTER'!$A:$A,'ITEM MASTER'!$I:$I,"")*IF(F278="CARTON",_xlfn.XLOOKUP(D278,'ITEM MASTER'!$A:$A,'ITEM MASTER'!$H:$H,1),1),"")</f>
        <v>0</v>
      </c>
      <c r="I278">
        <f>IF(OR(C278="PURCHASE",C278="OPENING"),G278*IF(F278="CARTON",_xlfn.XLOOKUP(D278,'ITEM MASTER'!$A:$A,'ITEM MASTER'!$H:$H,1),1),0)</f>
        <v>0</v>
      </c>
      <c r="J278">
        <f>IF(C278="SALE",G278*IF(F278="CARTON",_xlfn.XLOOKUP(D278,'ITEM MASTER'!$A:$A,'ITEM MASTER'!$H:$H,1),1),0)</f>
        <v>0</v>
      </c>
      <c r="K278">
        <f>SUMIFS($I$2:I278,$D$2:D278,D278)-SUMIFS($J$2:J278,$D$2:D278,D278)</f>
        <v>0</v>
      </c>
    </row>
    <row r="279" spans="5:11" x14ac:dyDescent="0.3">
      <c r="E279">
        <f>IFERROR(_xlfn.XLOOKUP(D279,'ITEM MASTER'!$A:$A,'ITEM MASTER'!$B:$B,""),"")</f>
        <v>0</v>
      </c>
      <c r="F279" t="s">
        <v>44</v>
      </c>
      <c r="H279">
        <f>IFERROR(_xlfn.XLOOKUP(D279,'ITEM MASTER'!$A:$A,'ITEM MASTER'!$I:$I,"")*IF(F279="CARTON",_xlfn.XLOOKUP(D279,'ITEM MASTER'!$A:$A,'ITEM MASTER'!$H:$H,1),1),"")</f>
        <v>0</v>
      </c>
      <c r="I279">
        <f>IF(OR(C279="PURCHASE",C279="OPENING"),G279*IF(F279="CARTON",_xlfn.XLOOKUP(D279,'ITEM MASTER'!$A:$A,'ITEM MASTER'!$H:$H,1),1),0)</f>
        <v>0</v>
      </c>
      <c r="J279">
        <f>IF(C279="SALE",G279*IF(F279="CARTON",_xlfn.XLOOKUP(D279,'ITEM MASTER'!$A:$A,'ITEM MASTER'!$H:$H,1),1),0)</f>
        <v>0</v>
      </c>
      <c r="K279">
        <f>SUMIFS($I$2:I279,$D$2:D279,D279)-SUMIFS($J$2:J279,$D$2:D279,D279)</f>
        <v>0</v>
      </c>
    </row>
    <row r="280" spans="5:11" x14ac:dyDescent="0.3">
      <c r="E280">
        <f>IFERROR(_xlfn.XLOOKUP(D280,'ITEM MASTER'!$A:$A,'ITEM MASTER'!$B:$B,""),"")</f>
        <v>0</v>
      </c>
      <c r="F280" t="s">
        <v>44</v>
      </c>
      <c r="H280">
        <f>IFERROR(_xlfn.XLOOKUP(D280,'ITEM MASTER'!$A:$A,'ITEM MASTER'!$I:$I,"")*IF(F280="CARTON",_xlfn.XLOOKUP(D280,'ITEM MASTER'!$A:$A,'ITEM MASTER'!$H:$H,1),1),"")</f>
        <v>0</v>
      </c>
      <c r="I280">
        <f>IF(OR(C280="PURCHASE",C280="OPENING"),G280*IF(F280="CARTON",_xlfn.XLOOKUP(D280,'ITEM MASTER'!$A:$A,'ITEM MASTER'!$H:$H,1),1),0)</f>
        <v>0</v>
      </c>
      <c r="J280">
        <f>IF(C280="SALE",G280*IF(F280="CARTON",_xlfn.XLOOKUP(D280,'ITEM MASTER'!$A:$A,'ITEM MASTER'!$H:$H,1),1),0)</f>
        <v>0</v>
      </c>
      <c r="K280">
        <f>SUMIFS($I$2:I280,$D$2:D280,D280)-SUMIFS($J$2:J280,$D$2:D280,D280)</f>
        <v>0</v>
      </c>
    </row>
    <row r="281" spans="5:11" x14ac:dyDescent="0.3">
      <c r="E281">
        <f>IFERROR(_xlfn.XLOOKUP(D281,'ITEM MASTER'!$A:$A,'ITEM MASTER'!$B:$B,""),"")</f>
        <v>0</v>
      </c>
      <c r="F281" t="s">
        <v>44</v>
      </c>
      <c r="H281">
        <f>IFERROR(_xlfn.XLOOKUP(D281,'ITEM MASTER'!$A:$A,'ITEM MASTER'!$I:$I,"")*IF(F281="CARTON",_xlfn.XLOOKUP(D281,'ITEM MASTER'!$A:$A,'ITEM MASTER'!$H:$H,1),1),"")</f>
        <v>0</v>
      </c>
      <c r="I281">
        <f>IF(OR(C281="PURCHASE",C281="OPENING"),G281*IF(F281="CARTON",_xlfn.XLOOKUP(D281,'ITEM MASTER'!$A:$A,'ITEM MASTER'!$H:$H,1),1),0)</f>
        <v>0</v>
      </c>
      <c r="J281">
        <f>IF(C281="SALE",G281*IF(F281="CARTON",_xlfn.XLOOKUP(D281,'ITEM MASTER'!$A:$A,'ITEM MASTER'!$H:$H,1),1),0)</f>
        <v>0</v>
      </c>
      <c r="K281">
        <f>SUMIFS($I$2:I281,$D$2:D281,D281)-SUMIFS($J$2:J281,$D$2:D281,D281)</f>
        <v>0</v>
      </c>
    </row>
    <row r="282" spans="5:11" x14ac:dyDescent="0.3">
      <c r="E282">
        <f>IFERROR(_xlfn.XLOOKUP(D282,'ITEM MASTER'!$A:$A,'ITEM MASTER'!$B:$B,""),"")</f>
        <v>0</v>
      </c>
      <c r="F282" t="s">
        <v>44</v>
      </c>
      <c r="H282">
        <f>IFERROR(_xlfn.XLOOKUP(D282,'ITEM MASTER'!$A:$A,'ITEM MASTER'!$I:$I,"")*IF(F282="CARTON",_xlfn.XLOOKUP(D282,'ITEM MASTER'!$A:$A,'ITEM MASTER'!$H:$H,1),1),"")</f>
        <v>0</v>
      </c>
      <c r="I282">
        <f>IF(OR(C282="PURCHASE",C282="OPENING"),G282*IF(F282="CARTON",_xlfn.XLOOKUP(D282,'ITEM MASTER'!$A:$A,'ITEM MASTER'!$H:$H,1),1),0)</f>
        <v>0</v>
      </c>
      <c r="J282">
        <f>IF(C282="SALE",G282*IF(F282="CARTON",_xlfn.XLOOKUP(D282,'ITEM MASTER'!$A:$A,'ITEM MASTER'!$H:$H,1),1),0)</f>
        <v>0</v>
      </c>
      <c r="K282">
        <f>SUMIFS($I$2:I282,$D$2:D282,D282)-SUMIFS($J$2:J282,$D$2:D282,D282)</f>
        <v>0</v>
      </c>
    </row>
    <row r="283" spans="5:11" x14ac:dyDescent="0.3">
      <c r="E283">
        <f>IFERROR(_xlfn.XLOOKUP(D283,'ITEM MASTER'!$A:$A,'ITEM MASTER'!$B:$B,""),"")</f>
        <v>0</v>
      </c>
      <c r="F283" t="s">
        <v>44</v>
      </c>
      <c r="H283">
        <f>IFERROR(_xlfn.XLOOKUP(D283,'ITEM MASTER'!$A:$A,'ITEM MASTER'!$I:$I,"")*IF(F283="CARTON",_xlfn.XLOOKUP(D283,'ITEM MASTER'!$A:$A,'ITEM MASTER'!$H:$H,1),1),"")</f>
        <v>0</v>
      </c>
      <c r="I283">
        <f>IF(OR(C283="PURCHASE",C283="OPENING"),G283*IF(F283="CARTON",_xlfn.XLOOKUP(D283,'ITEM MASTER'!$A:$A,'ITEM MASTER'!$H:$H,1),1),0)</f>
        <v>0</v>
      </c>
      <c r="J283">
        <f>IF(C283="SALE",G283*IF(F283="CARTON",_xlfn.XLOOKUP(D283,'ITEM MASTER'!$A:$A,'ITEM MASTER'!$H:$H,1),1),0)</f>
        <v>0</v>
      </c>
      <c r="K283">
        <f>SUMIFS($I$2:I283,$D$2:D283,D283)-SUMIFS($J$2:J283,$D$2:D283,D283)</f>
        <v>0</v>
      </c>
    </row>
    <row r="284" spans="5:11" x14ac:dyDescent="0.3">
      <c r="E284">
        <f>IFERROR(_xlfn.XLOOKUP(D284,'ITEM MASTER'!$A:$A,'ITEM MASTER'!$B:$B,""),"")</f>
        <v>0</v>
      </c>
      <c r="F284" t="s">
        <v>44</v>
      </c>
      <c r="H284">
        <f>IFERROR(_xlfn.XLOOKUP(D284,'ITEM MASTER'!$A:$A,'ITEM MASTER'!$I:$I,"")*IF(F284="CARTON",_xlfn.XLOOKUP(D284,'ITEM MASTER'!$A:$A,'ITEM MASTER'!$H:$H,1),1),"")</f>
        <v>0</v>
      </c>
      <c r="I284">
        <f>IF(OR(C284="PURCHASE",C284="OPENING"),G284*IF(F284="CARTON",_xlfn.XLOOKUP(D284,'ITEM MASTER'!$A:$A,'ITEM MASTER'!$H:$H,1),1),0)</f>
        <v>0</v>
      </c>
      <c r="J284">
        <f>IF(C284="SALE",G284*IF(F284="CARTON",_xlfn.XLOOKUP(D284,'ITEM MASTER'!$A:$A,'ITEM MASTER'!$H:$H,1),1),0)</f>
        <v>0</v>
      </c>
      <c r="K284">
        <f>SUMIFS($I$2:I284,$D$2:D284,D284)-SUMIFS($J$2:J284,$D$2:D284,D284)</f>
        <v>0</v>
      </c>
    </row>
    <row r="285" spans="5:11" x14ac:dyDescent="0.3">
      <c r="E285">
        <f>IFERROR(_xlfn.XLOOKUP(D285,'ITEM MASTER'!$A:$A,'ITEM MASTER'!$B:$B,""),"")</f>
        <v>0</v>
      </c>
      <c r="F285" t="s">
        <v>44</v>
      </c>
      <c r="H285">
        <f>IFERROR(_xlfn.XLOOKUP(D285,'ITEM MASTER'!$A:$A,'ITEM MASTER'!$I:$I,"")*IF(F285="CARTON",_xlfn.XLOOKUP(D285,'ITEM MASTER'!$A:$A,'ITEM MASTER'!$H:$H,1),1),"")</f>
        <v>0</v>
      </c>
      <c r="I285">
        <f>IF(OR(C285="PURCHASE",C285="OPENING"),G285*IF(F285="CARTON",_xlfn.XLOOKUP(D285,'ITEM MASTER'!$A:$A,'ITEM MASTER'!$H:$H,1),1),0)</f>
        <v>0</v>
      </c>
      <c r="J285">
        <f>IF(C285="SALE",G285*IF(F285="CARTON",_xlfn.XLOOKUP(D285,'ITEM MASTER'!$A:$A,'ITEM MASTER'!$H:$H,1),1),0)</f>
        <v>0</v>
      </c>
      <c r="K285">
        <f>SUMIFS($I$2:I285,$D$2:D285,D285)-SUMIFS($J$2:J285,$D$2:D285,D285)</f>
        <v>0</v>
      </c>
    </row>
    <row r="286" spans="5:11" x14ac:dyDescent="0.3">
      <c r="E286">
        <f>IFERROR(_xlfn.XLOOKUP(D286,'ITEM MASTER'!$A:$A,'ITEM MASTER'!$B:$B,""),"")</f>
        <v>0</v>
      </c>
      <c r="F286" t="s">
        <v>44</v>
      </c>
      <c r="H286">
        <f>IFERROR(_xlfn.XLOOKUP(D286,'ITEM MASTER'!$A:$A,'ITEM MASTER'!$I:$I,"")*IF(F286="CARTON",_xlfn.XLOOKUP(D286,'ITEM MASTER'!$A:$A,'ITEM MASTER'!$H:$H,1),1),"")</f>
        <v>0</v>
      </c>
      <c r="I286">
        <f>IF(OR(C286="PURCHASE",C286="OPENING"),G286*IF(F286="CARTON",_xlfn.XLOOKUP(D286,'ITEM MASTER'!$A:$A,'ITEM MASTER'!$H:$H,1),1),0)</f>
        <v>0</v>
      </c>
      <c r="J286">
        <f>IF(C286="SALE",G286*IF(F286="CARTON",_xlfn.XLOOKUP(D286,'ITEM MASTER'!$A:$A,'ITEM MASTER'!$H:$H,1),1),0)</f>
        <v>0</v>
      </c>
      <c r="K286">
        <f>SUMIFS($I$2:I286,$D$2:D286,D286)-SUMIFS($J$2:J286,$D$2:D286,D286)</f>
        <v>0</v>
      </c>
    </row>
    <row r="287" spans="5:11" x14ac:dyDescent="0.3">
      <c r="E287">
        <f>IFERROR(_xlfn.XLOOKUP(D287,'ITEM MASTER'!$A:$A,'ITEM MASTER'!$B:$B,""),"")</f>
        <v>0</v>
      </c>
      <c r="F287" t="s">
        <v>44</v>
      </c>
      <c r="H287">
        <f>IFERROR(_xlfn.XLOOKUP(D287,'ITEM MASTER'!$A:$A,'ITEM MASTER'!$I:$I,"")*IF(F287="CARTON",_xlfn.XLOOKUP(D287,'ITEM MASTER'!$A:$A,'ITEM MASTER'!$H:$H,1),1),"")</f>
        <v>0</v>
      </c>
      <c r="I287">
        <f>IF(OR(C287="PURCHASE",C287="OPENING"),G287*IF(F287="CARTON",_xlfn.XLOOKUP(D287,'ITEM MASTER'!$A:$A,'ITEM MASTER'!$H:$H,1),1),0)</f>
        <v>0</v>
      </c>
      <c r="J287">
        <f>IF(C287="SALE",G287*IF(F287="CARTON",_xlfn.XLOOKUP(D287,'ITEM MASTER'!$A:$A,'ITEM MASTER'!$H:$H,1),1),0)</f>
        <v>0</v>
      </c>
      <c r="K287">
        <f>SUMIFS($I$2:I287,$D$2:D287,D287)-SUMIFS($J$2:J287,$D$2:D287,D287)</f>
        <v>0</v>
      </c>
    </row>
    <row r="288" spans="5:11" x14ac:dyDescent="0.3">
      <c r="E288">
        <f>IFERROR(_xlfn.XLOOKUP(D288,'ITEM MASTER'!$A:$A,'ITEM MASTER'!$B:$B,""),"")</f>
        <v>0</v>
      </c>
      <c r="F288" t="s">
        <v>44</v>
      </c>
      <c r="H288">
        <f>IFERROR(_xlfn.XLOOKUP(D288,'ITEM MASTER'!$A:$A,'ITEM MASTER'!$I:$I,"")*IF(F288="CARTON",_xlfn.XLOOKUP(D288,'ITEM MASTER'!$A:$A,'ITEM MASTER'!$H:$H,1),1),"")</f>
        <v>0</v>
      </c>
      <c r="I288">
        <f>IF(OR(C288="PURCHASE",C288="OPENING"),G288*IF(F288="CARTON",_xlfn.XLOOKUP(D288,'ITEM MASTER'!$A:$A,'ITEM MASTER'!$H:$H,1),1),0)</f>
        <v>0</v>
      </c>
      <c r="J288">
        <f>IF(C288="SALE",G288*IF(F288="CARTON",_xlfn.XLOOKUP(D288,'ITEM MASTER'!$A:$A,'ITEM MASTER'!$H:$H,1),1),0)</f>
        <v>0</v>
      </c>
      <c r="K288">
        <f>SUMIFS($I$2:I288,$D$2:D288,D288)-SUMIFS($J$2:J288,$D$2:D288,D288)</f>
        <v>0</v>
      </c>
    </row>
    <row r="289" spans="5:11" x14ac:dyDescent="0.3">
      <c r="E289">
        <f>IFERROR(_xlfn.XLOOKUP(D289,'ITEM MASTER'!$A:$A,'ITEM MASTER'!$B:$B,""),"")</f>
        <v>0</v>
      </c>
      <c r="F289" t="s">
        <v>44</v>
      </c>
      <c r="H289">
        <f>IFERROR(_xlfn.XLOOKUP(D289,'ITEM MASTER'!$A:$A,'ITEM MASTER'!$I:$I,"")*IF(F289="CARTON",_xlfn.XLOOKUP(D289,'ITEM MASTER'!$A:$A,'ITEM MASTER'!$H:$H,1),1),"")</f>
        <v>0</v>
      </c>
      <c r="I289">
        <f>IF(OR(C289="PURCHASE",C289="OPENING"),G289*IF(F289="CARTON",_xlfn.XLOOKUP(D289,'ITEM MASTER'!$A:$A,'ITEM MASTER'!$H:$H,1),1),0)</f>
        <v>0</v>
      </c>
      <c r="J289">
        <f>IF(C289="SALE",G289*IF(F289="CARTON",_xlfn.XLOOKUP(D289,'ITEM MASTER'!$A:$A,'ITEM MASTER'!$H:$H,1),1),0)</f>
        <v>0</v>
      </c>
      <c r="K289">
        <f>SUMIFS($I$2:I289,$D$2:D289,D289)-SUMIFS($J$2:J289,$D$2:D289,D289)</f>
        <v>0</v>
      </c>
    </row>
    <row r="290" spans="5:11" x14ac:dyDescent="0.3">
      <c r="E290">
        <f>IFERROR(_xlfn.XLOOKUP(D290,'ITEM MASTER'!$A:$A,'ITEM MASTER'!$B:$B,""),"")</f>
        <v>0</v>
      </c>
      <c r="F290" t="s">
        <v>44</v>
      </c>
      <c r="H290">
        <f>IFERROR(_xlfn.XLOOKUP(D290,'ITEM MASTER'!$A:$A,'ITEM MASTER'!$I:$I,"")*IF(F290="CARTON",_xlfn.XLOOKUP(D290,'ITEM MASTER'!$A:$A,'ITEM MASTER'!$H:$H,1),1),"")</f>
        <v>0</v>
      </c>
      <c r="I290">
        <f>IF(OR(C290="PURCHASE",C290="OPENING"),G290*IF(F290="CARTON",_xlfn.XLOOKUP(D290,'ITEM MASTER'!$A:$A,'ITEM MASTER'!$H:$H,1),1),0)</f>
        <v>0</v>
      </c>
      <c r="J290">
        <f>IF(C290="SALE",G290*IF(F290="CARTON",_xlfn.XLOOKUP(D290,'ITEM MASTER'!$A:$A,'ITEM MASTER'!$H:$H,1),1),0)</f>
        <v>0</v>
      </c>
      <c r="K290">
        <f>SUMIFS($I$2:I290,$D$2:D290,D290)-SUMIFS($J$2:J290,$D$2:D290,D290)</f>
        <v>0</v>
      </c>
    </row>
    <row r="291" spans="5:11" x14ac:dyDescent="0.3">
      <c r="E291">
        <f>IFERROR(_xlfn.XLOOKUP(D291,'ITEM MASTER'!$A:$A,'ITEM MASTER'!$B:$B,""),"")</f>
        <v>0</v>
      </c>
      <c r="F291" t="s">
        <v>44</v>
      </c>
      <c r="H291">
        <f>IFERROR(_xlfn.XLOOKUP(D291,'ITEM MASTER'!$A:$A,'ITEM MASTER'!$I:$I,"")*IF(F291="CARTON",_xlfn.XLOOKUP(D291,'ITEM MASTER'!$A:$A,'ITEM MASTER'!$H:$H,1),1),"")</f>
        <v>0</v>
      </c>
      <c r="I291">
        <f>IF(OR(C291="PURCHASE",C291="OPENING"),G291*IF(F291="CARTON",_xlfn.XLOOKUP(D291,'ITEM MASTER'!$A:$A,'ITEM MASTER'!$H:$H,1),1),0)</f>
        <v>0</v>
      </c>
      <c r="J291">
        <f>IF(C291="SALE",G291*IF(F291="CARTON",_xlfn.XLOOKUP(D291,'ITEM MASTER'!$A:$A,'ITEM MASTER'!$H:$H,1),1),0)</f>
        <v>0</v>
      </c>
      <c r="K291">
        <f>SUMIFS($I$2:I291,$D$2:D291,D291)-SUMIFS($J$2:J291,$D$2:D291,D291)</f>
        <v>0</v>
      </c>
    </row>
    <row r="292" spans="5:11" x14ac:dyDescent="0.3">
      <c r="E292">
        <f>IFERROR(_xlfn.XLOOKUP(D292,'ITEM MASTER'!$A:$A,'ITEM MASTER'!$B:$B,""),"")</f>
        <v>0</v>
      </c>
      <c r="F292" t="s">
        <v>44</v>
      </c>
      <c r="H292">
        <f>IFERROR(_xlfn.XLOOKUP(D292,'ITEM MASTER'!$A:$A,'ITEM MASTER'!$I:$I,"")*IF(F292="CARTON",_xlfn.XLOOKUP(D292,'ITEM MASTER'!$A:$A,'ITEM MASTER'!$H:$H,1),1),"")</f>
        <v>0</v>
      </c>
      <c r="I292">
        <f>IF(OR(C292="PURCHASE",C292="OPENING"),G292*IF(F292="CARTON",_xlfn.XLOOKUP(D292,'ITEM MASTER'!$A:$A,'ITEM MASTER'!$H:$H,1),1),0)</f>
        <v>0</v>
      </c>
      <c r="J292">
        <f>IF(C292="SALE",G292*IF(F292="CARTON",_xlfn.XLOOKUP(D292,'ITEM MASTER'!$A:$A,'ITEM MASTER'!$H:$H,1),1),0)</f>
        <v>0</v>
      </c>
      <c r="K292">
        <f>SUMIFS($I$2:I292,$D$2:D292,D292)-SUMIFS($J$2:J292,$D$2:D292,D292)</f>
        <v>0</v>
      </c>
    </row>
    <row r="293" spans="5:11" x14ac:dyDescent="0.3">
      <c r="E293">
        <f>IFERROR(_xlfn.XLOOKUP(D293,'ITEM MASTER'!$A:$A,'ITEM MASTER'!$B:$B,""),"")</f>
        <v>0</v>
      </c>
      <c r="F293" t="s">
        <v>44</v>
      </c>
      <c r="H293">
        <f>IFERROR(_xlfn.XLOOKUP(D293,'ITEM MASTER'!$A:$A,'ITEM MASTER'!$I:$I,"")*IF(F293="CARTON",_xlfn.XLOOKUP(D293,'ITEM MASTER'!$A:$A,'ITEM MASTER'!$H:$H,1),1),"")</f>
        <v>0</v>
      </c>
      <c r="I293">
        <f>IF(OR(C293="PURCHASE",C293="OPENING"),G293*IF(F293="CARTON",_xlfn.XLOOKUP(D293,'ITEM MASTER'!$A:$A,'ITEM MASTER'!$H:$H,1),1),0)</f>
        <v>0</v>
      </c>
      <c r="J293">
        <f>IF(C293="SALE",G293*IF(F293="CARTON",_xlfn.XLOOKUP(D293,'ITEM MASTER'!$A:$A,'ITEM MASTER'!$H:$H,1),1),0)</f>
        <v>0</v>
      </c>
      <c r="K293">
        <f>SUMIFS($I$2:I293,$D$2:D293,D293)-SUMIFS($J$2:J293,$D$2:D293,D293)</f>
        <v>0</v>
      </c>
    </row>
    <row r="294" spans="5:11" x14ac:dyDescent="0.3">
      <c r="E294">
        <f>IFERROR(_xlfn.XLOOKUP(D294,'ITEM MASTER'!$A:$A,'ITEM MASTER'!$B:$B,""),"")</f>
        <v>0</v>
      </c>
      <c r="F294" t="s">
        <v>44</v>
      </c>
      <c r="H294">
        <f>IFERROR(_xlfn.XLOOKUP(D294,'ITEM MASTER'!$A:$A,'ITEM MASTER'!$I:$I,"")*IF(F294="CARTON",_xlfn.XLOOKUP(D294,'ITEM MASTER'!$A:$A,'ITEM MASTER'!$H:$H,1),1),"")</f>
        <v>0</v>
      </c>
      <c r="I294">
        <f>IF(OR(C294="PURCHASE",C294="OPENING"),G294*IF(F294="CARTON",_xlfn.XLOOKUP(D294,'ITEM MASTER'!$A:$A,'ITEM MASTER'!$H:$H,1),1),0)</f>
        <v>0</v>
      </c>
      <c r="J294">
        <f>IF(C294="SALE",G294*IF(F294="CARTON",_xlfn.XLOOKUP(D294,'ITEM MASTER'!$A:$A,'ITEM MASTER'!$H:$H,1),1),0)</f>
        <v>0</v>
      </c>
      <c r="K294">
        <f>SUMIFS($I$2:I294,$D$2:D294,D294)-SUMIFS($J$2:J294,$D$2:D294,D294)</f>
        <v>0</v>
      </c>
    </row>
    <row r="295" spans="5:11" x14ac:dyDescent="0.3">
      <c r="E295">
        <f>IFERROR(_xlfn.XLOOKUP(D295,'ITEM MASTER'!$A:$A,'ITEM MASTER'!$B:$B,""),"")</f>
        <v>0</v>
      </c>
      <c r="F295" t="s">
        <v>44</v>
      </c>
      <c r="H295">
        <f>IFERROR(_xlfn.XLOOKUP(D295,'ITEM MASTER'!$A:$A,'ITEM MASTER'!$I:$I,"")*IF(F295="CARTON",_xlfn.XLOOKUP(D295,'ITEM MASTER'!$A:$A,'ITEM MASTER'!$H:$H,1),1),"")</f>
        <v>0</v>
      </c>
      <c r="I295">
        <f>IF(OR(C295="PURCHASE",C295="OPENING"),G295*IF(F295="CARTON",_xlfn.XLOOKUP(D295,'ITEM MASTER'!$A:$A,'ITEM MASTER'!$H:$H,1),1),0)</f>
        <v>0</v>
      </c>
      <c r="J295">
        <f>IF(C295="SALE",G295*IF(F295="CARTON",_xlfn.XLOOKUP(D295,'ITEM MASTER'!$A:$A,'ITEM MASTER'!$H:$H,1),1),0)</f>
        <v>0</v>
      </c>
      <c r="K295">
        <f>SUMIFS($I$2:I295,$D$2:D295,D295)-SUMIFS($J$2:J295,$D$2:D295,D295)</f>
        <v>0</v>
      </c>
    </row>
    <row r="296" spans="5:11" x14ac:dyDescent="0.3">
      <c r="E296">
        <f>IFERROR(_xlfn.XLOOKUP(D296,'ITEM MASTER'!$A:$A,'ITEM MASTER'!$B:$B,""),"")</f>
        <v>0</v>
      </c>
      <c r="F296" t="s">
        <v>44</v>
      </c>
      <c r="H296">
        <f>IFERROR(_xlfn.XLOOKUP(D296,'ITEM MASTER'!$A:$A,'ITEM MASTER'!$I:$I,"")*IF(F296="CARTON",_xlfn.XLOOKUP(D296,'ITEM MASTER'!$A:$A,'ITEM MASTER'!$H:$H,1),1),"")</f>
        <v>0</v>
      </c>
      <c r="I296">
        <f>IF(OR(C296="PURCHASE",C296="OPENING"),G296*IF(F296="CARTON",_xlfn.XLOOKUP(D296,'ITEM MASTER'!$A:$A,'ITEM MASTER'!$H:$H,1),1),0)</f>
        <v>0</v>
      </c>
      <c r="J296">
        <f>IF(C296="SALE",G296*IF(F296="CARTON",_xlfn.XLOOKUP(D296,'ITEM MASTER'!$A:$A,'ITEM MASTER'!$H:$H,1),1),0)</f>
        <v>0</v>
      </c>
      <c r="K296">
        <f>SUMIFS($I$2:I296,$D$2:D296,D296)-SUMIFS($J$2:J296,$D$2:D296,D296)</f>
        <v>0</v>
      </c>
    </row>
    <row r="297" spans="5:11" x14ac:dyDescent="0.3">
      <c r="E297">
        <f>IFERROR(_xlfn.XLOOKUP(D297,'ITEM MASTER'!$A:$A,'ITEM MASTER'!$B:$B,""),"")</f>
        <v>0</v>
      </c>
      <c r="F297" t="s">
        <v>44</v>
      </c>
      <c r="H297">
        <f>IFERROR(_xlfn.XLOOKUP(D297,'ITEM MASTER'!$A:$A,'ITEM MASTER'!$I:$I,"")*IF(F297="CARTON",_xlfn.XLOOKUP(D297,'ITEM MASTER'!$A:$A,'ITEM MASTER'!$H:$H,1),1),"")</f>
        <v>0</v>
      </c>
      <c r="I297">
        <f>IF(OR(C297="PURCHASE",C297="OPENING"),G297*IF(F297="CARTON",_xlfn.XLOOKUP(D297,'ITEM MASTER'!$A:$A,'ITEM MASTER'!$H:$H,1),1),0)</f>
        <v>0</v>
      </c>
      <c r="J297">
        <f>IF(C297="SALE",G297*IF(F297="CARTON",_xlfn.XLOOKUP(D297,'ITEM MASTER'!$A:$A,'ITEM MASTER'!$H:$H,1),1),0)</f>
        <v>0</v>
      </c>
      <c r="K297">
        <f>SUMIFS($I$2:I297,$D$2:D297,D297)-SUMIFS($J$2:J297,$D$2:D297,D297)</f>
        <v>0</v>
      </c>
    </row>
    <row r="298" spans="5:11" x14ac:dyDescent="0.3">
      <c r="E298">
        <f>IFERROR(_xlfn.XLOOKUP(D298,'ITEM MASTER'!$A:$A,'ITEM MASTER'!$B:$B,""),"")</f>
        <v>0</v>
      </c>
      <c r="F298" t="s">
        <v>44</v>
      </c>
      <c r="H298">
        <f>IFERROR(_xlfn.XLOOKUP(D298,'ITEM MASTER'!$A:$A,'ITEM MASTER'!$I:$I,"")*IF(F298="CARTON",_xlfn.XLOOKUP(D298,'ITEM MASTER'!$A:$A,'ITEM MASTER'!$H:$H,1),1),"")</f>
        <v>0</v>
      </c>
      <c r="I298">
        <f>IF(OR(C298="PURCHASE",C298="OPENING"),G298*IF(F298="CARTON",_xlfn.XLOOKUP(D298,'ITEM MASTER'!$A:$A,'ITEM MASTER'!$H:$H,1),1),0)</f>
        <v>0</v>
      </c>
      <c r="J298">
        <f>IF(C298="SALE",G298*IF(F298="CARTON",_xlfn.XLOOKUP(D298,'ITEM MASTER'!$A:$A,'ITEM MASTER'!$H:$H,1),1),0)</f>
        <v>0</v>
      </c>
      <c r="K298">
        <f>SUMIFS($I$2:I298,$D$2:D298,D298)-SUMIFS($J$2:J298,$D$2:D298,D298)</f>
        <v>0</v>
      </c>
    </row>
    <row r="299" spans="5:11" x14ac:dyDescent="0.3">
      <c r="E299">
        <f>IFERROR(_xlfn.XLOOKUP(D299,'ITEM MASTER'!$A:$A,'ITEM MASTER'!$B:$B,""),"")</f>
        <v>0</v>
      </c>
      <c r="F299" t="s">
        <v>44</v>
      </c>
      <c r="H299">
        <f>IFERROR(_xlfn.XLOOKUP(D299,'ITEM MASTER'!$A:$A,'ITEM MASTER'!$I:$I,"")*IF(F299="CARTON",_xlfn.XLOOKUP(D299,'ITEM MASTER'!$A:$A,'ITEM MASTER'!$H:$H,1),1),"")</f>
        <v>0</v>
      </c>
      <c r="I299">
        <f>IF(OR(C299="PURCHASE",C299="OPENING"),G299*IF(F299="CARTON",_xlfn.XLOOKUP(D299,'ITEM MASTER'!$A:$A,'ITEM MASTER'!$H:$H,1),1),0)</f>
        <v>0</v>
      </c>
      <c r="J299">
        <f>IF(C299="SALE",G299*IF(F299="CARTON",_xlfn.XLOOKUP(D299,'ITEM MASTER'!$A:$A,'ITEM MASTER'!$H:$H,1),1),0)</f>
        <v>0</v>
      </c>
      <c r="K299">
        <f>SUMIFS($I$2:I299,$D$2:D299,D299)-SUMIFS($J$2:J299,$D$2:D299,D299)</f>
        <v>0</v>
      </c>
    </row>
    <row r="300" spans="5:11" x14ac:dyDescent="0.3">
      <c r="E300">
        <f>IFERROR(_xlfn.XLOOKUP(D300,'ITEM MASTER'!$A:$A,'ITEM MASTER'!$B:$B,""),"")</f>
        <v>0</v>
      </c>
      <c r="F300" t="s">
        <v>44</v>
      </c>
      <c r="H300">
        <f>IFERROR(_xlfn.XLOOKUP(D300,'ITEM MASTER'!$A:$A,'ITEM MASTER'!$I:$I,"")*IF(F300="CARTON",_xlfn.XLOOKUP(D300,'ITEM MASTER'!$A:$A,'ITEM MASTER'!$H:$H,1),1),"")</f>
        <v>0</v>
      </c>
      <c r="I300">
        <f>IF(OR(C300="PURCHASE",C300="OPENING"),G300*IF(F300="CARTON",_xlfn.XLOOKUP(D300,'ITEM MASTER'!$A:$A,'ITEM MASTER'!$H:$H,1),1),0)</f>
        <v>0</v>
      </c>
      <c r="J300">
        <f>IF(C300="SALE",G300*IF(F300="CARTON",_xlfn.XLOOKUP(D300,'ITEM MASTER'!$A:$A,'ITEM MASTER'!$H:$H,1),1),0)</f>
        <v>0</v>
      </c>
      <c r="K300">
        <f>SUMIFS($I$2:I300,$D$2:D300,D300)-SUMIFS($J$2:J300,$D$2:D300,D300)</f>
        <v>0</v>
      </c>
    </row>
    <row r="301" spans="5:11" x14ac:dyDescent="0.3">
      <c r="E301">
        <f>IFERROR(_xlfn.XLOOKUP(D301,'ITEM MASTER'!$A:$A,'ITEM MASTER'!$B:$B,""),"")</f>
        <v>0</v>
      </c>
      <c r="F301" t="s">
        <v>44</v>
      </c>
      <c r="H301">
        <f>IFERROR(_xlfn.XLOOKUP(D301,'ITEM MASTER'!$A:$A,'ITEM MASTER'!$I:$I,"")*IF(F301="CARTON",_xlfn.XLOOKUP(D301,'ITEM MASTER'!$A:$A,'ITEM MASTER'!$H:$H,1),1),"")</f>
        <v>0</v>
      </c>
      <c r="I301">
        <f>IF(OR(C301="PURCHASE",C301="OPENING"),G301*IF(F301="CARTON",_xlfn.XLOOKUP(D301,'ITEM MASTER'!$A:$A,'ITEM MASTER'!$H:$H,1),1),0)</f>
        <v>0</v>
      </c>
      <c r="J301">
        <f>IF(C301="SALE",G301*IF(F301="CARTON",_xlfn.XLOOKUP(D301,'ITEM MASTER'!$A:$A,'ITEM MASTER'!$H:$H,1),1),0)</f>
        <v>0</v>
      </c>
      <c r="K301">
        <f>SUMIFS($I$2:I301,$D$2:D301,D301)-SUMIFS($J$2:J301,$D$2:D301,D301)</f>
        <v>0</v>
      </c>
    </row>
    <row r="302" spans="5:11" x14ac:dyDescent="0.3">
      <c r="E302">
        <f>IFERROR(_xlfn.XLOOKUP(D302,'ITEM MASTER'!$A:$A,'ITEM MASTER'!$B:$B,""),"")</f>
        <v>0</v>
      </c>
      <c r="F302" t="s">
        <v>44</v>
      </c>
      <c r="H302">
        <f>IFERROR(_xlfn.XLOOKUP(D302,'ITEM MASTER'!$A:$A,'ITEM MASTER'!$I:$I,"")*IF(F302="CARTON",_xlfn.XLOOKUP(D302,'ITEM MASTER'!$A:$A,'ITEM MASTER'!$H:$H,1),1),"")</f>
        <v>0</v>
      </c>
      <c r="I302">
        <f>IF(OR(C302="PURCHASE",C302="OPENING"),G302*IF(F302="CARTON",_xlfn.XLOOKUP(D302,'ITEM MASTER'!$A:$A,'ITEM MASTER'!$H:$H,1),1),0)</f>
        <v>0</v>
      </c>
      <c r="J302">
        <f>IF(C302="SALE",G302*IF(F302="CARTON",_xlfn.XLOOKUP(D302,'ITEM MASTER'!$A:$A,'ITEM MASTER'!$H:$H,1),1),0)</f>
        <v>0</v>
      </c>
      <c r="K302">
        <f>SUMIFS($I$2:I302,$D$2:D302,D302)-SUMIFS($J$2:J302,$D$2:D302,D302)</f>
        <v>0</v>
      </c>
    </row>
    <row r="303" spans="5:11" x14ac:dyDescent="0.3">
      <c r="E303">
        <f>IFERROR(_xlfn.XLOOKUP(D303,'ITEM MASTER'!$A:$A,'ITEM MASTER'!$B:$B,""),"")</f>
        <v>0</v>
      </c>
      <c r="F303" t="s">
        <v>44</v>
      </c>
      <c r="H303">
        <f>IFERROR(_xlfn.XLOOKUP(D303,'ITEM MASTER'!$A:$A,'ITEM MASTER'!$I:$I,"")*IF(F303="CARTON",_xlfn.XLOOKUP(D303,'ITEM MASTER'!$A:$A,'ITEM MASTER'!$H:$H,1),1),"")</f>
        <v>0</v>
      </c>
      <c r="I303">
        <f>IF(OR(C303="PURCHASE",C303="OPENING"),G303*IF(F303="CARTON",_xlfn.XLOOKUP(D303,'ITEM MASTER'!$A:$A,'ITEM MASTER'!$H:$H,1),1),0)</f>
        <v>0</v>
      </c>
      <c r="J303">
        <f>IF(C303="SALE",G303*IF(F303="CARTON",_xlfn.XLOOKUP(D303,'ITEM MASTER'!$A:$A,'ITEM MASTER'!$H:$H,1),1),0)</f>
        <v>0</v>
      </c>
      <c r="K303">
        <f>SUMIFS($I$2:I303,$D$2:D303,D303)-SUMIFS($J$2:J303,$D$2:D303,D303)</f>
        <v>0</v>
      </c>
    </row>
    <row r="304" spans="5:11" x14ac:dyDescent="0.3">
      <c r="E304">
        <f>IFERROR(_xlfn.XLOOKUP(D304,'ITEM MASTER'!$A:$A,'ITEM MASTER'!$B:$B,""),"")</f>
        <v>0</v>
      </c>
      <c r="F304" t="s">
        <v>44</v>
      </c>
      <c r="H304">
        <f>IFERROR(_xlfn.XLOOKUP(D304,'ITEM MASTER'!$A:$A,'ITEM MASTER'!$I:$I,"")*IF(F304="CARTON",_xlfn.XLOOKUP(D304,'ITEM MASTER'!$A:$A,'ITEM MASTER'!$H:$H,1),1),"")</f>
        <v>0</v>
      </c>
      <c r="I304">
        <f>IF(OR(C304="PURCHASE",C304="OPENING"),G304*IF(F304="CARTON",_xlfn.XLOOKUP(D304,'ITEM MASTER'!$A:$A,'ITEM MASTER'!$H:$H,1),1),0)</f>
        <v>0</v>
      </c>
      <c r="J304">
        <f>IF(C304="SALE",G304*IF(F304="CARTON",_xlfn.XLOOKUP(D304,'ITEM MASTER'!$A:$A,'ITEM MASTER'!$H:$H,1),1),0)</f>
        <v>0</v>
      </c>
      <c r="K304">
        <f>SUMIFS($I$2:I304,$D$2:D304,D304)-SUMIFS($J$2:J304,$D$2:D304,D304)</f>
        <v>0</v>
      </c>
    </row>
    <row r="305" spans="5:11" x14ac:dyDescent="0.3">
      <c r="E305">
        <f>IFERROR(_xlfn.XLOOKUP(D305,'ITEM MASTER'!$A:$A,'ITEM MASTER'!$B:$B,""),"")</f>
        <v>0</v>
      </c>
      <c r="F305" t="s">
        <v>44</v>
      </c>
      <c r="H305">
        <f>IFERROR(_xlfn.XLOOKUP(D305,'ITEM MASTER'!$A:$A,'ITEM MASTER'!$I:$I,"")*IF(F305="CARTON",_xlfn.XLOOKUP(D305,'ITEM MASTER'!$A:$A,'ITEM MASTER'!$H:$H,1),1),"")</f>
        <v>0</v>
      </c>
      <c r="I305">
        <f>IF(OR(C305="PURCHASE",C305="OPENING"),G305*IF(F305="CARTON",_xlfn.XLOOKUP(D305,'ITEM MASTER'!$A:$A,'ITEM MASTER'!$H:$H,1),1),0)</f>
        <v>0</v>
      </c>
      <c r="J305">
        <f>IF(C305="SALE",G305*IF(F305="CARTON",_xlfn.XLOOKUP(D305,'ITEM MASTER'!$A:$A,'ITEM MASTER'!$H:$H,1),1),0)</f>
        <v>0</v>
      </c>
      <c r="K305">
        <f>SUMIFS($I$2:I305,$D$2:D305,D305)-SUMIFS($J$2:J305,$D$2:D305,D305)</f>
        <v>0</v>
      </c>
    </row>
    <row r="306" spans="5:11" x14ac:dyDescent="0.3">
      <c r="E306">
        <f>IFERROR(_xlfn.XLOOKUP(D306,'ITEM MASTER'!$A:$A,'ITEM MASTER'!$B:$B,""),"")</f>
        <v>0</v>
      </c>
      <c r="F306" t="s">
        <v>44</v>
      </c>
      <c r="H306">
        <f>IFERROR(_xlfn.XLOOKUP(D306,'ITEM MASTER'!$A:$A,'ITEM MASTER'!$I:$I,"")*IF(F306="CARTON",_xlfn.XLOOKUP(D306,'ITEM MASTER'!$A:$A,'ITEM MASTER'!$H:$H,1),1),"")</f>
        <v>0</v>
      </c>
      <c r="I306">
        <f>IF(OR(C306="PURCHASE",C306="OPENING"),G306*IF(F306="CARTON",_xlfn.XLOOKUP(D306,'ITEM MASTER'!$A:$A,'ITEM MASTER'!$H:$H,1),1),0)</f>
        <v>0</v>
      </c>
      <c r="J306">
        <f>IF(C306="SALE",G306*IF(F306="CARTON",_xlfn.XLOOKUP(D306,'ITEM MASTER'!$A:$A,'ITEM MASTER'!$H:$H,1),1),0)</f>
        <v>0</v>
      </c>
      <c r="K306">
        <f>SUMIFS($I$2:I306,$D$2:D306,D306)-SUMIFS($J$2:J306,$D$2:D306,D306)</f>
        <v>0</v>
      </c>
    </row>
    <row r="307" spans="5:11" x14ac:dyDescent="0.3">
      <c r="E307">
        <f>IFERROR(_xlfn.XLOOKUP(D307,'ITEM MASTER'!$A:$A,'ITEM MASTER'!$B:$B,""),"")</f>
        <v>0</v>
      </c>
      <c r="F307" t="s">
        <v>44</v>
      </c>
      <c r="H307">
        <f>IFERROR(_xlfn.XLOOKUP(D307,'ITEM MASTER'!$A:$A,'ITEM MASTER'!$I:$I,"")*IF(F307="CARTON",_xlfn.XLOOKUP(D307,'ITEM MASTER'!$A:$A,'ITEM MASTER'!$H:$H,1),1),"")</f>
        <v>0</v>
      </c>
      <c r="I307">
        <f>IF(OR(C307="PURCHASE",C307="OPENING"),G307*IF(F307="CARTON",_xlfn.XLOOKUP(D307,'ITEM MASTER'!$A:$A,'ITEM MASTER'!$H:$H,1),1),0)</f>
        <v>0</v>
      </c>
      <c r="J307">
        <f>IF(C307="SALE",G307*IF(F307="CARTON",_xlfn.XLOOKUP(D307,'ITEM MASTER'!$A:$A,'ITEM MASTER'!$H:$H,1),1),0)</f>
        <v>0</v>
      </c>
      <c r="K307">
        <f>SUMIFS($I$2:I307,$D$2:D307,D307)-SUMIFS($J$2:J307,$D$2:D307,D307)</f>
        <v>0</v>
      </c>
    </row>
    <row r="308" spans="5:11" x14ac:dyDescent="0.3">
      <c r="E308">
        <f>IFERROR(_xlfn.XLOOKUP(D308,'ITEM MASTER'!$A:$A,'ITEM MASTER'!$B:$B,""),"")</f>
        <v>0</v>
      </c>
      <c r="F308" t="s">
        <v>44</v>
      </c>
      <c r="H308">
        <f>IFERROR(_xlfn.XLOOKUP(D308,'ITEM MASTER'!$A:$A,'ITEM MASTER'!$I:$I,"")*IF(F308="CARTON",_xlfn.XLOOKUP(D308,'ITEM MASTER'!$A:$A,'ITEM MASTER'!$H:$H,1),1),"")</f>
        <v>0</v>
      </c>
      <c r="I308">
        <f>IF(OR(C308="PURCHASE",C308="OPENING"),G308*IF(F308="CARTON",_xlfn.XLOOKUP(D308,'ITEM MASTER'!$A:$A,'ITEM MASTER'!$H:$H,1),1),0)</f>
        <v>0</v>
      </c>
      <c r="J308">
        <f>IF(C308="SALE",G308*IF(F308="CARTON",_xlfn.XLOOKUP(D308,'ITEM MASTER'!$A:$A,'ITEM MASTER'!$H:$H,1),1),0)</f>
        <v>0</v>
      </c>
      <c r="K308">
        <f>SUMIFS($I$2:I308,$D$2:D308,D308)-SUMIFS($J$2:J308,$D$2:D308,D308)</f>
        <v>0</v>
      </c>
    </row>
    <row r="309" spans="5:11" x14ac:dyDescent="0.3">
      <c r="E309">
        <f>IFERROR(_xlfn.XLOOKUP(D309,'ITEM MASTER'!$A:$A,'ITEM MASTER'!$B:$B,""),"")</f>
        <v>0</v>
      </c>
      <c r="F309" t="s">
        <v>44</v>
      </c>
      <c r="H309">
        <f>IFERROR(_xlfn.XLOOKUP(D309,'ITEM MASTER'!$A:$A,'ITEM MASTER'!$I:$I,"")*IF(F309="CARTON",_xlfn.XLOOKUP(D309,'ITEM MASTER'!$A:$A,'ITEM MASTER'!$H:$H,1),1),"")</f>
        <v>0</v>
      </c>
      <c r="I309">
        <f>IF(OR(C309="PURCHASE",C309="OPENING"),G309*IF(F309="CARTON",_xlfn.XLOOKUP(D309,'ITEM MASTER'!$A:$A,'ITEM MASTER'!$H:$H,1),1),0)</f>
        <v>0</v>
      </c>
      <c r="J309">
        <f>IF(C309="SALE",G309*IF(F309="CARTON",_xlfn.XLOOKUP(D309,'ITEM MASTER'!$A:$A,'ITEM MASTER'!$H:$H,1),1),0)</f>
        <v>0</v>
      </c>
      <c r="K309">
        <f>SUMIFS($I$2:I309,$D$2:D309,D309)-SUMIFS($J$2:J309,$D$2:D309,D309)</f>
        <v>0</v>
      </c>
    </row>
    <row r="310" spans="5:11" x14ac:dyDescent="0.3">
      <c r="E310">
        <f>IFERROR(_xlfn.XLOOKUP(D310,'ITEM MASTER'!$A:$A,'ITEM MASTER'!$B:$B,""),"")</f>
        <v>0</v>
      </c>
      <c r="F310" t="s">
        <v>44</v>
      </c>
      <c r="H310">
        <f>IFERROR(_xlfn.XLOOKUP(D310,'ITEM MASTER'!$A:$A,'ITEM MASTER'!$I:$I,"")*IF(F310="CARTON",_xlfn.XLOOKUP(D310,'ITEM MASTER'!$A:$A,'ITEM MASTER'!$H:$H,1),1),"")</f>
        <v>0</v>
      </c>
      <c r="I310">
        <f>IF(OR(C310="PURCHASE",C310="OPENING"),G310*IF(F310="CARTON",_xlfn.XLOOKUP(D310,'ITEM MASTER'!$A:$A,'ITEM MASTER'!$H:$H,1),1),0)</f>
        <v>0</v>
      </c>
      <c r="J310">
        <f>IF(C310="SALE",G310*IF(F310="CARTON",_xlfn.XLOOKUP(D310,'ITEM MASTER'!$A:$A,'ITEM MASTER'!$H:$H,1),1),0)</f>
        <v>0</v>
      </c>
      <c r="K310">
        <f>SUMIFS($I$2:I310,$D$2:D310,D310)-SUMIFS($J$2:J310,$D$2:D310,D310)</f>
        <v>0</v>
      </c>
    </row>
    <row r="311" spans="5:11" x14ac:dyDescent="0.3">
      <c r="E311">
        <f>IFERROR(_xlfn.XLOOKUP(D311,'ITEM MASTER'!$A:$A,'ITEM MASTER'!$B:$B,""),"")</f>
        <v>0</v>
      </c>
      <c r="F311" t="s">
        <v>44</v>
      </c>
      <c r="H311">
        <f>IFERROR(_xlfn.XLOOKUP(D311,'ITEM MASTER'!$A:$A,'ITEM MASTER'!$I:$I,"")*IF(F311="CARTON",_xlfn.XLOOKUP(D311,'ITEM MASTER'!$A:$A,'ITEM MASTER'!$H:$H,1),1),"")</f>
        <v>0</v>
      </c>
      <c r="I311">
        <f>IF(OR(C311="PURCHASE",C311="OPENING"),G311*IF(F311="CARTON",_xlfn.XLOOKUP(D311,'ITEM MASTER'!$A:$A,'ITEM MASTER'!$H:$H,1),1),0)</f>
        <v>0</v>
      </c>
      <c r="J311">
        <f>IF(C311="SALE",G311*IF(F311="CARTON",_xlfn.XLOOKUP(D311,'ITEM MASTER'!$A:$A,'ITEM MASTER'!$H:$H,1),1),0)</f>
        <v>0</v>
      </c>
      <c r="K311">
        <f>SUMIFS($I$2:I311,$D$2:D311,D311)-SUMIFS($J$2:J311,$D$2:D311,D311)</f>
        <v>0</v>
      </c>
    </row>
    <row r="312" spans="5:11" x14ac:dyDescent="0.3">
      <c r="E312">
        <f>IFERROR(_xlfn.XLOOKUP(D312,'ITEM MASTER'!$A:$A,'ITEM MASTER'!$B:$B,""),"")</f>
        <v>0</v>
      </c>
      <c r="F312" t="s">
        <v>44</v>
      </c>
      <c r="H312">
        <f>IFERROR(_xlfn.XLOOKUP(D312,'ITEM MASTER'!$A:$A,'ITEM MASTER'!$I:$I,"")*IF(F312="CARTON",_xlfn.XLOOKUP(D312,'ITEM MASTER'!$A:$A,'ITEM MASTER'!$H:$H,1),1),"")</f>
        <v>0</v>
      </c>
      <c r="I312">
        <f>IF(OR(C312="PURCHASE",C312="OPENING"),G312*IF(F312="CARTON",_xlfn.XLOOKUP(D312,'ITEM MASTER'!$A:$A,'ITEM MASTER'!$H:$H,1),1),0)</f>
        <v>0</v>
      </c>
      <c r="J312">
        <f>IF(C312="SALE",G312*IF(F312="CARTON",_xlfn.XLOOKUP(D312,'ITEM MASTER'!$A:$A,'ITEM MASTER'!$H:$H,1),1),0)</f>
        <v>0</v>
      </c>
      <c r="K312">
        <f>SUMIFS($I$2:I312,$D$2:D312,D312)-SUMIFS($J$2:J312,$D$2:D312,D312)</f>
        <v>0</v>
      </c>
    </row>
    <row r="313" spans="5:11" x14ac:dyDescent="0.3">
      <c r="E313">
        <f>IFERROR(_xlfn.XLOOKUP(D313,'ITEM MASTER'!$A:$A,'ITEM MASTER'!$B:$B,""),"")</f>
        <v>0</v>
      </c>
      <c r="F313" t="s">
        <v>44</v>
      </c>
      <c r="H313">
        <f>IFERROR(_xlfn.XLOOKUP(D313,'ITEM MASTER'!$A:$A,'ITEM MASTER'!$I:$I,"")*IF(F313="CARTON",_xlfn.XLOOKUP(D313,'ITEM MASTER'!$A:$A,'ITEM MASTER'!$H:$H,1),1),"")</f>
        <v>0</v>
      </c>
      <c r="I313">
        <f>IF(OR(C313="PURCHASE",C313="OPENING"),G313*IF(F313="CARTON",_xlfn.XLOOKUP(D313,'ITEM MASTER'!$A:$A,'ITEM MASTER'!$H:$H,1),1),0)</f>
        <v>0</v>
      </c>
      <c r="J313">
        <f>IF(C313="SALE",G313*IF(F313="CARTON",_xlfn.XLOOKUP(D313,'ITEM MASTER'!$A:$A,'ITEM MASTER'!$H:$H,1),1),0)</f>
        <v>0</v>
      </c>
      <c r="K313">
        <f>SUMIFS($I$2:I313,$D$2:D313,D313)-SUMIFS($J$2:J313,$D$2:D313,D313)</f>
        <v>0</v>
      </c>
    </row>
    <row r="314" spans="5:11" x14ac:dyDescent="0.3">
      <c r="E314">
        <f>IFERROR(_xlfn.XLOOKUP(D314,'ITEM MASTER'!$A:$A,'ITEM MASTER'!$B:$B,""),"")</f>
        <v>0</v>
      </c>
      <c r="F314" t="s">
        <v>44</v>
      </c>
      <c r="H314">
        <f>IFERROR(_xlfn.XLOOKUP(D314,'ITEM MASTER'!$A:$A,'ITEM MASTER'!$I:$I,"")*IF(F314="CARTON",_xlfn.XLOOKUP(D314,'ITEM MASTER'!$A:$A,'ITEM MASTER'!$H:$H,1),1),"")</f>
        <v>0</v>
      </c>
      <c r="I314">
        <f>IF(OR(C314="PURCHASE",C314="OPENING"),G314*IF(F314="CARTON",_xlfn.XLOOKUP(D314,'ITEM MASTER'!$A:$A,'ITEM MASTER'!$H:$H,1),1),0)</f>
        <v>0</v>
      </c>
      <c r="J314">
        <f>IF(C314="SALE",G314*IF(F314="CARTON",_xlfn.XLOOKUP(D314,'ITEM MASTER'!$A:$A,'ITEM MASTER'!$H:$H,1),1),0)</f>
        <v>0</v>
      </c>
      <c r="K314">
        <f>SUMIFS($I$2:I314,$D$2:D314,D314)-SUMIFS($J$2:J314,$D$2:D314,D314)</f>
        <v>0</v>
      </c>
    </row>
    <row r="315" spans="5:11" x14ac:dyDescent="0.3">
      <c r="E315">
        <f>IFERROR(_xlfn.XLOOKUP(D315,'ITEM MASTER'!$A:$A,'ITEM MASTER'!$B:$B,""),"")</f>
        <v>0</v>
      </c>
      <c r="F315" t="s">
        <v>44</v>
      </c>
      <c r="H315">
        <f>IFERROR(_xlfn.XLOOKUP(D315,'ITEM MASTER'!$A:$A,'ITEM MASTER'!$I:$I,"")*IF(F315="CARTON",_xlfn.XLOOKUP(D315,'ITEM MASTER'!$A:$A,'ITEM MASTER'!$H:$H,1),1),"")</f>
        <v>0</v>
      </c>
      <c r="I315">
        <f>IF(OR(C315="PURCHASE",C315="OPENING"),G315*IF(F315="CARTON",_xlfn.XLOOKUP(D315,'ITEM MASTER'!$A:$A,'ITEM MASTER'!$H:$H,1),1),0)</f>
        <v>0</v>
      </c>
      <c r="J315">
        <f>IF(C315="SALE",G315*IF(F315="CARTON",_xlfn.XLOOKUP(D315,'ITEM MASTER'!$A:$A,'ITEM MASTER'!$H:$H,1),1),0)</f>
        <v>0</v>
      </c>
      <c r="K315">
        <f>SUMIFS($I$2:I315,$D$2:D315,D315)-SUMIFS($J$2:J315,$D$2:D315,D315)</f>
        <v>0</v>
      </c>
    </row>
    <row r="316" spans="5:11" x14ac:dyDescent="0.3">
      <c r="E316">
        <f>IFERROR(_xlfn.XLOOKUP(D316,'ITEM MASTER'!$A:$A,'ITEM MASTER'!$B:$B,""),"")</f>
        <v>0</v>
      </c>
      <c r="F316" t="s">
        <v>44</v>
      </c>
      <c r="H316">
        <f>IFERROR(_xlfn.XLOOKUP(D316,'ITEM MASTER'!$A:$A,'ITEM MASTER'!$I:$I,"")*IF(F316="CARTON",_xlfn.XLOOKUP(D316,'ITEM MASTER'!$A:$A,'ITEM MASTER'!$H:$H,1),1),"")</f>
        <v>0</v>
      </c>
      <c r="I316">
        <f>IF(OR(C316="PURCHASE",C316="OPENING"),G316*IF(F316="CARTON",_xlfn.XLOOKUP(D316,'ITEM MASTER'!$A:$A,'ITEM MASTER'!$H:$H,1),1),0)</f>
        <v>0</v>
      </c>
      <c r="J316">
        <f>IF(C316="SALE",G316*IF(F316="CARTON",_xlfn.XLOOKUP(D316,'ITEM MASTER'!$A:$A,'ITEM MASTER'!$H:$H,1),1),0)</f>
        <v>0</v>
      </c>
      <c r="K316">
        <f>SUMIFS($I$2:I316,$D$2:D316,D316)-SUMIFS($J$2:J316,$D$2:D316,D316)</f>
        <v>0</v>
      </c>
    </row>
    <row r="317" spans="5:11" x14ac:dyDescent="0.3">
      <c r="E317">
        <f>IFERROR(_xlfn.XLOOKUP(D317,'ITEM MASTER'!$A:$A,'ITEM MASTER'!$B:$B,""),"")</f>
        <v>0</v>
      </c>
      <c r="F317" t="s">
        <v>44</v>
      </c>
      <c r="H317">
        <f>IFERROR(_xlfn.XLOOKUP(D317,'ITEM MASTER'!$A:$A,'ITEM MASTER'!$I:$I,"")*IF(F317="CARTON",_xlfn.XLOOKUP(D317,'ITEM MASTER'!$A:$A,'ITEM MASTER'!$H:$H,1),1),"")</f>
        <v>0</v>
      </c>
      <c r="I317">
        <f>IF(OR(C317="PURCHASE",C317="OPENING"),G317*IF(F317="CARTON",_xlfn.XLOOKUP(D317,'ITEM MASTER'!$A:$A,'ITEM MASTER'!$H:$H,1),1),0)</f>
        <v>0</v>
      </c>
      <c r="J317">
        <f>IF(C317="SALE",G317*IF(F317="CARTON",_xlfn.XLOOKUP(D317,'ITEM MASTER'!$A:$A,'ITEM MASTER'!$H:$H,1),1),0)</f>
        <v>0</v>
      </c>
      <c r="K317">
        <f>SUMIFS($I$2:I317,$D$2:D317,D317)-SUMIFS($J$2:J317,$D$2:D317,D317)</f>
        <v>0</v>
      </c>
    </row>
    <row r="318" spans="5:11" x14ac:dyDescent="0.3">
      <c r="E318">
        <f>IFERROR(_xlfn.XLOOKUP(D318,'ITEM MASTER'!$A:$A,'ITEM MASTER'!$B:$B,""),"")</f>
        <v>0</v>
      </c>
      <c r="F318" t="s">
        <v>44</v>
      </c>
      <c r="H318">
        <f>IFERROR(_xlfn.XLOOKUP(D318,'ITEM MASTER'!$A:$A,'ITEM MASTER'!$I:$I,"")*IF(F318="CARTON",_xlfn.XLOOKUP(D318,'ITEM MASTER'!$A:$A,'ITEM MASTER'!$H:$H,1),1),"")</f>
        <v>0</v>
      </c>
      <c r="I318">
        <f>IF(OR(C318="PURCHASE",C318="OPENING"),G318*IF(F318="CARTON",_xlfn.XLOOKUP(D318,'ITEM MASTER'!$A:$A,'ITEM MASTER'!$H:$H,1),1),0)</f>
        <v>0</v>
      </c>
      <c r="J318">
        <f>IF(C318="SALE",G318*IF(F318="CARTON",_xlfn.XLOOKUP(D318,'ITEM MASTER'!$A:$A,'ITEM MASTER'!$H:$H,1),1),0)</f>
        <v>0</v>
      </c>
      <c r="K318">
        <f>SUMIFS($I$2:I318,$D$2:D318,D318)-SUMIFS($J$2:J318,$D$2:D318,D318)</f>
        <v>0</v>
      </c>
    </row>
    <row r="319" spans="5:11" x14ac:dyDescent="0.3">
      <c r="E319">
        <f>IFERROR(_xlfn.XLOOKUP(D319,'ITEM MASTER'!$A:$A,'ITEM MASTER'!$B:$B,""),"")</f>
        <v>0</v>
      </c>
      <c r="F319" t="s">
        <v>44</v>
      </c>
      <c r="H319">
        <f>IFERROR(_xlfn.XLOOKUP(D319,'ITEM MASTER'!$A:$A,'ITEM MASTER'!$I:$I,"")*IF(F319="CARTON",_xlfn.XLOOKUP(D319,'ITEM MASTER'!$A:$A,'ITEM MASTER'!$H:$H,1),1),"")</f>
        <v>0</v>
      </c>
      <c r="I319">
        <f>IF(OR(C319="PURCHASE",C319="OPENING"),G319*IF(F319="CARTON",_xlfn.XLOOKUP(D319,'ITEM MASTER'!$A:$A,'ITEM MASTER'!$H:$H,1),1),0)</f>
        <v>0</v>
      </c>
      <c r="J319">
        <f>IF(C319="SALE",G319*IF(F319="CARTON",_xlfn.XLOOKUP(D319,'ITEM MASTER'!$A:$A,'ITEM MASTER'!$H:$H,1),1),0)</f>
        <v>0</v>
      </c>
      <c r="K319">
        <f>SUMIFS($I$2:I319,$D$2:D319,D319)-SUMIFS($J$2:J319,$D$2:D319,D319)</f>
        <v>0</v>
      </c>
    </row>
    <row r="320" spans="5:11" x14ac:dyDescent="0.3">
      <c r="E320">
        <f>IFERROR(_xlfn.XLOOKUP(D320,'ITEM MASTER'!$A:$A,'ITEM MASTER'!$B:$B,""),"")</f>
        <v>0</v>
      </c>
      <c r="F320" t="s">
        <v>44</v>
      </c>
      <c r="H320">
        <f>IFERROR(_xlfn.XLOOKUP(D320,'ITEM MASTER'!$A:$A,'ITEM MASTER'!$I:$I,"")*IF(F320="CARTON",_xlfn.XLOOKUP(D320,'ITEM MASTER'!$A:$A,'ITEM MASTER'!$H:$H,1),1),"")</f>
        <v>0</v>
      </c>
      <c r="I320">
        <f>IF(OR(C320="PURCHASE",C320="OPENING"),G320*IF(F320="CARTON",_xlfn.XLOOKUP(D320,'ITEM MASTER'!$A:$A,'ITEM MASTER'!$H:$H,1),1),0)</f>
        <v>0</v>
      </c>
      <c r="J320">
        <f>IF(C320="SALE",G320*IF(F320="CARTON",_xlfn.XLOOKUP(D320,'ITEM MASTER'!$A:$A,'ITEM MASTER'!$H:$H,1),1),0)</f>
        <v>0</v>
      </c>
      <c r="K320">
        <f>SUMIFS($I$2:I320,$D$2:D320,D320)-SUMIFS($J$2:J320,$D$2:D320,D320)</f>
        <v>0</v>
      </c>
    </row>
    <row r="321" spans="5:11" x14ac:dyDescent="0.3">
      <c r="E321">
        <f>IFERROR(_xlfn.XLOOKUP(D321,'ITEM MASTER'!$A:$A,'ITEM MASTER'!$B:$B,""),"")</f>
        <v>0</v>
      </c>
      <c r="F321" t="s">
        <v>44</v>
      </c>
      <c r="H321">
        <f>IFERROR(_xlfn.XLOOKUP(D321,'ITEM MASTER'!$A:$A,'ITEM MASTER'!$I:$I,"")*IF(F321="CARTON",_xlfn.XLOOKUP(D321,'ITEM MASTER'!$A:$A,'ITEM MASTER'!$H:$H,1),1),"")</f>
        <v>0</v>
      </c>
      <c r="I321">
        <f>IF(OR(C321="PURCHASE",C321="OPENING"),G321*IF(F321="CARTON",_xlfn.XLOOKUP(D321,'ITEM MASTER'!$A:$A,'ITEM MASTER'!$H:$H,1),1),0)</f>
        <v>0</v>
      </c>
      <c r="J321">
        <f>IF(C321="SALE",G321*IF(F321="CARTON",_xlfn.XLOOKUP(D321,'ITEM MASTER'!$A:$A,'ITEM MASTER'!$H:$H,1),1),0)</f>
        <v>0</v>
      </c>
      <c r="K321">
        <f>SUMIFS($I$2:I321,$D$2:D321,D321)-SUMIFS($J$2:J321,$D$2:D321,D321)</f>
        <v>0</v>
      </c>
    </row>
    <row r="322" spans="5:11" x14ac:dyDescent="0.3">
      <c r="E322">
        <f>IFERROR(_xlfn.XLOOKUP(D322,'ITEM MASTER'!$A:$A,'ITEM MASTER'!$B:$B,""),"")</f>
        <v>0</v>
      </c>
      <c r="F322" t="s">
        <v>44</v>
      </c>
      <c r="H322">
        <f>IFERROR(_xlfn.XLOOKUP(D322,'ITEM MASTER'!$A:$A,'ITEM MASTER'!$I:$I,"")*IF(F322="CARTON",_xlfn.XLOOKUP(D322,'ITEM MASTER'!$A:$A,'ITEM MASTER'!$H:$H,1),1),"")</f>
        <v>0</v>
      </c>
      <c r="I322">
        <f>IF(OR(C322="PURCHASE",C322="OPENING"),G322*IF(F322="CARTON",_xlfn.XLOOKUP(D322,'ITEM MASTER'!$A:$A,'ITEM MASTER'!$H:$H,1),1),0)</f>
        <v>0</v>
      </c>
      <c r="J322">
        <f>IF(C322="SALE",G322*IF(F322="CARTON",_xlfn.XLOOKUP(D322,'ITEM MASTER'!$A:$A,'ITEM MASTER'!$H:$H,1),1),0)</f>
        <v>0</v>
      </c>
      <c r="K322">
        <f>SUMIFS($I$2:I322,$D$2:D322,D322)-SUMIFS($J$2:J322,$D$2:D322,D322)</f>
        <v>0</v>
      </c>
    </row>
    <row r="323" spans="5:11" x14ac:dyDescent="0.3">
      <c r="E323">
        <f>IFERROR(_xlfn.XLOOKUP(D323,'ITEM MASTER'!$A:$A,'ITEM MASTER'!$B:$B,""),"")</f>
        <v>0</v>
      </c>
      <c r="F323" t="s">
        <v>44</v>
      </c>
      <c r="H323">
        <f>IFERROR(_xlfn.XLOOKUP(D323,'ITEM MASTER'!$A:$A,'ITEM MASTER'!$I:$I,"")*IF(F323="CARTON",_xlfn.XLOOKUP(D323,'ITEM MASTER'!$A:$A,'ITEM MASTER'!$H:$H,1),1),"")</f>
        <v>0</v>
      </c>
      <c r="I323">
        <f>IF(OR(C323="PURCHASE",C323="OPENING"),G323*IF(F323="CARTON",_xlfn.XLOOKUP(D323,'ITEM MASTER'!$A:$A,'ITEM MASTER'!$H:$H,1),1),0)</f>
        <v>0</v>
      </c>
      <c r="J323">
        <f>IF(C323="SALE",G323*IF(F323="CARTON",_xlfn.XLOOKUP(D323,'ITEM MASTER'!$A:$A,'ITEM MASTER'!$H:$H,1),1),0)</f>
        <v>0</v>
      </c>
      <c r="K323">
        <f>SUMIFS($I$2:I323,$D$2:D323,D323)-SUMIFS($J$2:J323,$D$2:D323,D323)</f>
        <v>0</v>
      </c>
    </row>
    <row r="324" spans="5:11" x14ac:dyDescent="0.3">
      <c r="E324">
        <f>IFERROR(_xlfn.XLOOKUP(D324,'ITEM MASTER'!$A:$A,'ITEM MASTER'!$B:$B,""),"")</f>
        <v>0</v>
      </c>
      <c r="F324" t="s">
        <v>44</v>
      </c>
      <c r="H324">
        <f>IFERROR(_xlfn.XLOOKUP(D324,'ITEM MASTER'!$A:$A,'ITEM MASTER'!$I:$I,"")*IF(F324="CARTON",_xlfn.XLOOKUP(D324,'ITEM MASTER'!$A:$A,'ITEM MASTER'!$H:$H,1),1),"")</f>
        <v>0</v>
      </c>
      <c r="I324">
        <f>IF(OR(C324="PURCHASE",C324="OPENING"),G324*IF(F324="CARTON",_xlfn.XLOOKUP(D324,'ITEM MASTER'!$A:$A,'ITEM MASTER'!$H:$H,1),1),0)</f>
        <v>0</v>
      </c>
      <c r="J324">
        <f>IF(C324="SALE",G324*IF(F324="CARTON",_xlfn.XLOOKUP(D324,'ITEM MASTER'!$A:$A,'ITEM MASTER'!$H:$H,1),1),0)</f>
        <v>0</v>
      </c>
      <c r="K324">
        <f>SUMIFS($I$2:I324,$D$2:D324,D324)-SUMIFS($J$2:J324,$D$2:D324,D324)</f>
        <v>0</v>
      </c>
    </row>
    <row r="325" spans="5:11" x14ac:dyDescent="0.3">
      <c r="E325">
        <f>IFERROR(_xlfn.XLOOKUP(D325,'ITEM MASTER'!$A:$A,'ITEM MASTER'!$B:$B,""),"")</f>
        <v>0</v>
      </c>
      <c r="F325" t="s">
        <v>44</v>
      </c>
      <c r="H325">
        <f>IFERROR(_xlfn.XLOOKUP(D325,'ITEM MASTER'!$A:$A,'ITEM MASTER'!$I:$I,"")*IF(F325="CARTON",_xlfn.XLOOKUP(D325,'ITEM MASTER'!$A:$A,'ITEM MASTER'!$H:$H,1),1),"")</f>
        <v>0</v>
      </c>
      <c r="I325">
        <f>IF(OR(C325="PURCHASE",C325="OPENING"),G325*IF(F325="CARTON",_xlfn.XLOOKUP(D325,'ITEM MASTER'!$A:$A,'ITEM MASTER'!$H:$H,1),1),0)</f>
        <v>0</v>
      </c>
      <c r="J325">
        <f>IF(C325="SALE",G325*IF(F325="CARTON",_xlfn.XLOOKUP(D325,'ITEM MASTER'!$A:$A,'ITEM MASTER'!$H:$H,1),1),0)</f>
        <v>0</v>
      </c>
      <c r="K325">
        <f>SUMIFS($I$2:I325,$D$2:D325,D325)-SUMIFS($J$2:J325,$D$2:D325,D325)</f>
        <v>0</v>
      </c>
    </row>
    <row r="326" spans="5:11" x14ac:dyDescent="0.3">
      <c r="E326">
        <f>IFERROR(_xlfn.XLOOKUP(D326,'ITEM MASTER'!$A:$A,'ITEM MASTER'!$B:$B,""),"")</f>
        <v>0</v>
      </c>
      <c r="F326" t="s">
        <v>44</v>
      </c>
      <c r="H326">
        <f>IFERROR(_xlfn.XLOOKUP(D326,'ITEM MASTER'!$A:$A,'ITEM MASTER'!$I:$I,"")*IF(F326="CARTON",_xlfn.XLOOKUP(D326,'ITEM MASTER'!$A:$A,'ITEM MASTER'!$H:$H,1),1),"")</f>
        <v>0</v>
      </c>
      <c r="I326">
        <f>IF(OR(C326="PURCHASE",C326="OPENING"),G326*IF(F326="CARTON",_xlfn.XLOOKUP(D326,'ITEM MASTER'!$A:$A,'ITEM MASTER'!$H:$H,1),1),0)</f>
        <v>0</v>
      </c>
      <c r="J326">
        <f>IF(C326="SALE",G326*IF(F326="CARTON",_xlfn.XLOOKUP(D326,'ITEM MASTER'!$A:$A,'ITEM MASTER'!$H:$H,1),1),0)</f>
        <v>0</v>
      </c>
      <c r="K326">
        <f>SUMIFS($I$2:I326,$D$2:D326,D326)-SUMIFS($J$2:J326,$D$2:D326,D326)</f>
        <v>0</v>
      </c>
    </row>
    <row r="327" spans="5:11" x14ac:dyDescent="0.3">
      <c r="E327">
        <f>IFERROR(_xlfn.XLOOKUP(D327,'ITEM MASTER'!$A:$A,'ITEM MASTER'!$B:$B,""),"")</f>
        <v>0</v>
      </c>
      <c r="F327" t="s">
        <v>44</v>
      </c>
      <c r="H327">
        <f>IFERROR(_xlfn.XLOOKUP(D327,'ITEM MASTER'!$A:$A,'ITEM MASTER'!$I:$I,"")*IF(F327="CARTON",_xlfn.XLOOKUP(D327,'ITEM MASTER'!$A:$A,'ITEM MASTER'!$H:$H,1),1),"")</f>
        <v>0</v>
      </c>
      <c r="I327">
        <f>IF(OR(C327="PURCHASE",C327="OPENING"),G327*IF(F327="CARTON",_xlfn.XLOOKUP(D327,'ITEM MASTER'!$A:$A,'ITEM MASTER'!$H:$H,1),1),0)</f>
        <v>0</v>
      </c>
      <c r="J327">
        <f>IF(C327="SALE",G327*IF(F327="CARTON",_xlfn.XLOOKUP(D327,'ITEM MASTER'!$A:$A,'ITEM MASTER'!$H:$H,1),1),0)</f>
        <v>0</v>
      </c>
      <c r="K327">
        <f>SUMIFS($I$2:I327,$D$2:D327,D327)-SUMIFS($J$2:J327,$D$2:D327,D327)</f>
        <v>0</v>
      </c>
    </row>
    <row r="328" spans="5:11" x14ac:dyDescent="0.3">
      <c r="E328">
        <f>IFERROR(_xlfn.XLOOKUP(D328,'ITEM MASTER'!$A:$A,'ITEM MASTER'!$B:$B,""),"")</f>
        <v>0</v>
      </c>
      <c r="F328" t="s">
        <v>44</v>
      </c>
      <c r="H328">
        <f>IFERROR(_xlfn.XLOOKUP(D328,'ITEM MASTER'!$A:$A,'ITEM MASTER'!$I:$I,"")*IF(F328="CARTON",_xlfn.XLOOKUP(D328,'ITEM MASTER'!$A:$A,'ITEM MASTER'!$H:$H,1),1),"")</f>
        <v>0</v>
      </c>
      <c r="I328">
        <f>IF(OR(C328="PURCHASE",C328="OPENING"),G328*IF(F328="CARTON",_xlfn.XLOOKUP(D328,'ITEM MASTER'!$A:$A,'ITEM MASTER'!$H:$H,1),1),0)</f>
        <v>0</v>
      </c>
      <c r="J328">
        <f>IF(C328="SALE",G328*IF(F328="CARTON",_xlfn.XLOOKUP(D328,'ITEM MASTER'!$A:$A,'ITEM MASTER'!$H:$H,1),1),0)</f>
        <v>0</v>
      </c>
      <c r="K328">
        <f>SUMIFS($I$2:I328,$D$2:D328,D328)-SUMIFS($J$2:J328,$D$2:D328,D328)</f>
        <v>0</v>
      </c>
    </row>
    <row r="329" spans="5:11" x14ac:dyDescent="0.3">
      <c r="E329">
        <f>IFERROR(_xlfn.XLOOKUP(D329,'ITEM MASTER'!$A:$A,'ITEM MASTER'!$B:$B,""),"")</f>
        <v>0</v>
      </c>
      <c r="F329" t="s">
        <v>44</v>
      </c>
      <c r="H329">
        <f>IFERROR(_xlfn.XLOOKUP(D329,'ITEM MASTER'!$A:$A,'ITEM MASTER'!$I:$I,"")*IF(F329="CARTON",_xlfn.XLOOKUP(D329,'ITEM MASTER'!$A:$A,'ITEM MASTER'!$H:$H,1),1),"")</f>
        <v>0</v>
      </c>
      <c r="I329">
        <f>IF(OR(C329="PURCHASE",C329="OPENING"),G329*IF(F329="CARTON",_xlfn.XLOOKUP(D329,'ITEM MASTER'!$A:$A,'ITEM MASTER'!$H:$H,1),1),0)</f>
        <v>0</v>
      </c>
      <c r="J329">
        <f>IF(C329="SALE",G329*IF(F329="CARTON",_xlfn.XLOOKUP(D329,'ITEM MASTER'!$A:$A,'ITEM MASTER'!$H:$H,1),1),0)</f>
        <v>0</v>
      </c>
      <c r="K329">
        <f>SUMIFS($I$2:I329,$D$2:D329,D329)-SUMIFS($J$2:J329,$D$2:D329,D329)</f>
        <v>0</v>
      </c>
    </row>
    <row r="330" spans="5:11" x14ac:dyDescent="0.3">
      <c r="E330">
        <f>IFERROR(_xlfn.XLOOKUP(D330,'ITEM MASTER'!$A:$A,'ITEM MASTER'!$B:$B,""),"")</f>
        <v>0</v>
      </c>
      <c r="F330" t="s">
        <v>44</v>
      </c>
      <c r="H330">
        <f>IFERROR(_xlfn.XLOOKUP(D330,'ITEM MASTER'!$A:$A,'ITEM MASTER'!$I:$I,"")*IF(F330="CARTON",_xlfn.XLOOKUP(D330,'ITEM MASTER'!$A:$A,'ITEM MASTER'!$H:$H,1),1),"")</f>
        <v>0</v>
      </c>
      <c r="I330">
        <f>IF(OR(C330="PURCHASE",C330="OPENING"),G330*IF(F330="CARTON",_xlfn.XLOOKUP(D330,'ITEM MASTER'!$A:$A,'ITEM MASTER'!$H:$H,1),1),0)</f>
        <v>0</v>
      </c>
      <c r="J330">
        <f>IF(C330="SALE",G330*IF(F330="CARTON",_xlfn.XLOOKUP(D330,'ITEM MASTER'!$A:$A,'ITEM MASTER'!$H:$H,1),1),0)</f>
        <v>0</v>
      </c>
      <c r="K330">
        <f>SUMIFS($I$2:I330,$D$2:D330,D330)-SUMIFS($J$2:J330,$D$2:D330,D330)</f>
        <v>0</v>
      </c>
    </row>
    <row r="331" spans="5:11" x14ac:dyDescent="0.3">
      <c r="E331">
        <f>IFERROR(_xlfn.XLOOKUP(D331,'ITEM MASTER'!$A:$A,'ITEM MASTER'!$B:$B,""),"")</f>
        <v>0</v>
      </c>
      <c r="F331" t="s">
        <v>44</v>
      </c>
      <c r="H331">
        <f>IFERROR(_xlfn.XLOOKUP(D331,'ITEM MASTER'!$A:$A,'ITEM MASTER'!$I:$I,"")*IF(F331="CARTON",_xlfn.XLOOKUP(D331,'ITEM MASTER'!$A:$A,'ITEM MASTER'!$H:$H,1),1),"")</f>
        <v>0</v>
      </c>
      <c r="I331">
        <f>IF(OR(C331="PURCHASE",C331="OPENING"),G331*IF(F331="CARTON",_xlfn.XLOOKUP(D331,'ITEM MASTER'!$A:$A,'ITEM MASTER'!$H:$H,1),1),0)</f>
        <v>0</v>
      </c>
      <c r="J331">
        <f>IF(C331="SALE",G331*IF(F331="CARTON",_xlfn.XLOOKUP(D331,'ITEM MASTER'!$A:$A,'ITEM MASTER'!$H:$H,1),1),0)</f>
        <v>0</v>
      </c>
      <c r="K331">
        <f>SUMIFS($I$2:I331,$D$2:D331,D331)-SUMIFS($J$2:J331,$D$2:D331,D331)</f>
        <v>0</v>
      </c>
    </row>
    <row r="332" spans="5:11" x14ac:dyDescent="0.3">
      <c r="E332">
        <f>IFERROR(_xlfn.XLOOKUP(D332,'ITEM MASTER'!$A:$A,'ITEM MASTER'!$B:$B,""),"")</f>
        <v>0</v>
      </c>
      <c r="F332" t="s">
        <v>44</v>
      </c>
      <c r="H332">
        <f>IFERROR(_xlfn.XLOOKUP(D332,'ITEM MASTER'!$A:$A,'ITEM MASTER'!$I:$I,"")*IF(F332="CARTON",_xlfn.XLOOKUP(D332,'ITEM MASTER'!$A:$A,'ITEM MASTER'!$H:$H,1),1),"")</f>
        <v>0</v>
      </c>
      <c r="I332">
        <f>IF(OR(C332="PURCHASE",C332="OPENING"),G332*IF(F332="CARTON",_xlfn.XLOOKUP(D332,'ITEM MASTER'!$A:$A,'ITEM MASTER'!$H:$H,1),1),0)</f>
        <v>0</v>
      </c>
      <c r="J332">
        <f>IF(C332="SALE",G332*IF(F332="CARTON",_xlfn.XLOOKUP(D332,'ITEM MASTER'!$A:$A,'ITEM MASTER'!$H:$H,1),1),0)</f>
        <v>0</v>
      </c>
      <c r="K332">
        <f>SUMIFS($I$2:I332,$D$2:D332,D332)-SUMIFS($J$2:J332,$D$2:D332,D332)</f>
        <v>0</v>
      </c>
    </row>
    <row r="333" spans="5:11" x14ac:dyDescent="0.3">
      <c r="E333">
        <f>IFERROR(_xlfn.XLOOKUP(D333,'ITEM MASTER'!$A:$A,'ITEM MASTER'!$B:$B,""),"")</f>
        <v>0</v>
      </c>
      <c r="F333" t="s">
        <v>44</v>
      </c>
      <c r="H333">
        <f>IFERROR(_xlfn.XLOOKUP(D333,'ITEM MASTER'!$A:$A,'ITEM MASTER'!$I:$I,"")*IF(F333="CARTON",_xlfn.XLOOKUP(D333,'ITEM MASTER'!$A:$A,'ITEM MASTER'!$H:$H,1),1),"")</f>
        <v>0</v>
      </c>
      <c r="I333">
        <f>IF(OR(C333="PURCHASE",C333="OPENING"),G333*IF(F333="CARTON",_xlfn.XLOOKUP(D333,'ITEM MASTER'!$A:$A,'ITEM MASTER'!$H:$H,1),1),0)</f>
        <v>0</v>
      </c>
      <c r="J333">
        <f>IF(C333="SALE",G333*IF(F333="CARTON",_xlfn.XLOOKUP(D333,'ITEM MASTER'!$A:$A,'ITEM MASTER'!$H:$H,1),1),0)</f>
        <v>0</v>
      </c>
      <c r="K333">
        <f>SUMIFS($I$2:I333,$D$2:D333,D333)-SUMIFS($J$2:J333,$D$2:D333,D333)</f>
        <v>0</v>
      </c>
    </row>
    <row r="334" spans="5:11" x14ac:dyDescent="0.3">
      <c r="E334">
        <f>IFERROR(_xlfn.XLOOKUP(D334,'ITEM MASTER'!$A:$A,'ITEM MASTER'!$B:$B,""),"")</f>
        <v>0</v>
      </c>
      <c r="F334" t="s">
        <v>44</v>
      </c>
      <c r="H334">
        <f>IFERROR(_xlfn.XLOOKUP(D334,'ITEM MASTER'!$A:$A,'ITEM MASTER'!$I:$I,"")*IF(F334="CARTON",_xlfn.XLOOKUP(D334,'ITEM MASTER'!$A:$A,'ITEM MASTER'!$H:$H,1),1),"")</f>
        <v>0</v>
      </c>
      <c r="I334">
        <f>IF(OR(C334="PURCHASE",C334="OPENING"),G334*IF(F334="CARTON",_xlfn.XLOOKUP(D334,'ITEM MASTER'!$A:$A,'ITEM MASTER'!$H:$H,1),1),0)</f>
        <v>0</v>
      </c>
      <c r="J334">
        <f>IF(C334="SALE",G334*IF(F334="CARTON",_xlfn.XLOOKUP(D334,'ITEM MASTER'!$A:$A,'ITEM MASTER'!$H:$H,1),1),0)</f>
        <v>0</v>
      </c>
      <c r="K334">
        <f>SUMIFS($I$2:I334,$D$2:D334,D334)-SUMIFS($J$2:J334,$D$2:D334,D334)</f>
        <v>0</v>
      </c>
    </row>
    <row r="335" spans="5:11" x14ac:dyDescent="0.3">
      <c r="E335">
        <f>IFERROR(_xlfn.XLOOKUP(D335,'ITEM MASTER'!$A:$A,'ITEM MASTER'!$B:$B,""),"")</f>
        <v>0</v>
      </c>
      <c r="F335" t="s">
        <v>44</v>
      </c>
      <c r="H335">
        <f>IFERROR(_xlfn.XLOOKUP(D335,'ITEM MASTER'!$A:$A,'ITEM MASTER'!$I:$I,"")*IF(F335="CARTON",_xlfn.XLOOKUP(D335,'ITEM MASTER'!$A:$A,'ITEM MASTER'!$H:$H,1),1),"")</f>
        <v>0</v>
      </c>
      <c r="I335">
        <f>IF(OR(C335="PURCHASE",C335="OPENING"),G335*IF(F335="CARTON",_xlfn.XLOOKUP(D335,'ITEM MASTER'!$A:$A,'ITEM MASTER'!$H:$H,1),1),0)</f>
        <v>0</v>
      </c>
      <c r="J335">
        <f>IF(C335="SALE",G335*IF(F335="CARTON",_xlfn.XLOOKUP(D335,'ITEM MASTER'!$A:$A,'ITEM MASTER'!$H:$H,1),1),0)</f>
        <v>0</v>
      </c>
      <c r="K335">
        <f>SUMIFS($I$2:I335,$D$2:D335,D335)-SUMIFS($J$2:J335,$D$2:D335,D335)</f>
        <v>0</v>
      </c>
    </row>
    <row r="336" spans="5:11" x14ac:dyDescent="0.3">
      <c r="E336">
        <f>IFERROR(_xlfn.XLOOKUP(D336,'ITEM MASTER'!$A:$A,'ITEM MASTER'!$B:$B,""),"")</f>
        <v>0</v>
      </c>
      <c r="F336" t="s">
        <v>44</v>
      </c>
      <c r="H336">
        <f>IFERROR(_xlfn.XLOOKUP(D336,'ITEM MASTER'!$A:$A,'ITEM MASTER'!$I:$I,"")*IF(F336="CARTON",_xlfn.XLOOKUP(D336,'ITEM MASTER'!$A:$A,'ITEM MASTER'!$H:$H,1),1),"")</f>
        <v>0</v>
      </c>
      <c r="I336">
        <f>IF(OR(C336="PURCHASE",C336="OPENING"),G336*IF(F336="CARTON",_xlfn.XLOOKUP(D336,'ITEM MASTER'!$A:$A,'ITEM MASTER'!$H:$H,1),1),0)</f>
        <v>0</v>
      </c>
      <c r="J336">
        <f>IF(C336="SALE",G336*IF(F336="CARTON",_xlfn.XLOOKUP(D336,'ITEM MASTER'!$A:$A,'ITEM MASTER'!$H:$H,1),1),0)</f>
        <v>0</v>
      </c>
      <c r="K336">
        <f>SUMIFS($I$2:I336,$D$2:D336,D336)-SUMIFS($J$2:J336,$D$2:D336,D336)</f>
        <v>0</v>
      </c>
    </row>
    <row r="337" spans="5:11" x14ac:dyDescent="0.3">
      <c r="E337">
        <f>IFERROR(_xlfn.XLOOKUP(D337,'ITEM MASTER'!$A:$A,'ITEM MASTER'!$B:$B,""),"")</f>
        <v>0</v>
      </c>
      <c r="F337" t="s">
        <v>44</v>
      </c>
      <c r="H337">
        <f>IFERROR(_xlfn.XLOOKUP(D337,'ITEM MASTER'!$A:$A,'ITEM MASTER'!$I:$I,"")*IF(F337="CARTON",_xlfn.XLOOKUP(D337,'ITEM MASTER'!$A:$A,'ITEM MASTER'!$H:$H,1),1),"")</f>
        <v>0</v>
      </c>
      <c r="I337">
        <f>IF(OR(C337="PURCHASE",C337="OPENING"),G337*IF(F337="CARTON",_xlfn.XLOOKUP(D337,'ITEM MASTER'!$A:$A,'ITEM MASTER'!$H:$H,1),1),0)</f>
        <v>0</v>
      </c>
      <c r="J337">
        <f>IF(C337="SALE",G337*IF(F337="CARTON",_xlfn.XLOOKUP(D337,'ITEM MASTER'!$A:$A,'ITEM MASTER'!$H:$H,1),1),0)</f>
        <v>0</v>
      </c>
      <c r="K337">
        <f>SUMIFS($I$2:I337,$D$2:D337,D337)-SUMIFS($J$2:J337,$D$2:D337,D337)</f>
        <v>0</v>
      </c>
    </row>
    <row r="338" spans="5:11" x14ac:dyDescent="0.3">
      <c r="E338">
        <f>IFERROR(_xlfn.XLOOKUP(D338,'ITEM MASTER'!$A:$A,'ITEM MASTER'!$B:$B,""),"")</f>
        <v>0</v>
      </c>
      <c r="F338" t="s">
        <v>44</v>
      </c>
      <c r="H338">
        <f>IFERROR(_xlfn.XLOOKUP(D338,'ITEM MASTER'!$A:$A,'ITEM MASTER'!$I:$I,"")*IF(F338="CARTON",_xlfn.XLOOKUP(D338,'ITEM MASTER'!$A:$A,'ITEM MASTER'!$H:$H,1),1),"")</f>
        <v>0</v>
      </c>
      <c r="I338">
        <f>IF(OR(C338="PURCHASE",C338="OPENING"),G338*IF(F338="CARTON",_xlfn.XLOOKUP(D338,'ITEM MASTER'!$A:$A,'ITEM MASTER'!$H:$H,1),1),0)</f>
        <v>0</v>
      </c>
      <c r="J338">
        <f>IF(C338="SALE",G338*IF(F338="CARTON",_xlfn.XLOOKUP(D338,'ITEM MASTER'!$A:$A,'ITEM MASTER'!$H:$H,1),1),0)</f>
        <v>0</v>
      </c>
      <c r="K338">
        <f>SUMIFS($I$2:I338,$D$2:D338,D338)-SUMIFS($J$2:J338,$D$2:D338,D338)</f>
        <v>0</v>
      </c>
    </row>
    <row r="339" spans="5:11" x14ac:dyDescent="0.3">
      <c r="E339">
        <f>IFERROR(_xlfn.XLOOKUP(D339,'ITEM MASTER'!$A:$A,'ITEM MASTER'!$B:$B,""),"")</f>
        <v>0</v>
      </c>
      <c r="F339" t="s">
        <v>44</v>
      </c>
      <c r="H339">
        <f>IFERROR(_xlfn.XLOOKUP(D339,'ITEM MASTER'!$A:$A,'ITEM MASTER'!$I:$I,"")*IF(F339="CARTON",_xlfn.XLOOKUP(D339,'ITEM MASTER'!$A:$A,'ITEM MASTER'!$H:$H,1),1),"")</f>
        <v>0</v>
      </c>
      <c r="I339">
        <f>IF(OR(C339="PURCHASE",C339="OPENING"),G339*IF(F339="CARTON",_xlfn.XLOOKUP(D339,'ITEM MASTER'!$A:$A,'ITEM MASTER'!$H:$H,1),1),0)</f>
        <v>0</v>
      </c>
      <c r="J339">
        <f>IF(C339="SALE",G339*IF(F339="CARTON",_xlfn.XLOOKUP(D339,'ITEM MASTER'!$A:$A,'ITEM MASTER'!$H:$H,1),1),0)</f>
        <v>0</v>
      </c>
      <c r="K339">
        <f>SUMIFS($I$2:I339,$D$2:D339,D339)-SUMIFS($J$2:J339,$D$2:D339,D339)</f>
        <v>0</v>
      </c>
    </row>
    <row r="340" spans="5:11" x14ac:dyDescent="0.3">
      <c r="E340">
        <f>IFERROR(_xlfn.XLOOKUP(D340,'ITEM MASTER'!$A:$A,'ITEM MASTER'!$B:$B,""),"")</f>
        <v>0</v>
      </c>
      <c r="F340" t="s">
        <v>44</v>
      </c>
      <c r="H340">
        <f>IFERROR(_xlfn.XLOOKUP(D340,'ITEM MASTER'!$A:$A,'ITEM MASTER'!$I:$I,"")*IF(F340="CARTON",_xlfn.XLOOKUP(D340,'ITEM MASTER'!$A:$A,'ITEM MASTER'!$H:$H,1),1),"")</f>
        <v>0</v>
      </c>
      <c r="I340">
        <f>IF(OR(C340="PURCHASE",C340="OPENING"),G340*IF(F340="CARTON",_xlfn.XLOOKUP(D340,'ITEM MASTER'!$A:$A,'ITEM MASTER'!$H:$H,1),1),0)</f>
        <v>0</v>
      </c>
      <c r="J340">
        <f>IF(C340="SALE",G340*IF(F340="CARTON",_xlfn.XLOOKUP(D340,'ITEM MASTER'!$A:$A,'ITEM MASTER'!$H:$H,1),1),0)</f>
        <v>0</v>
      </c>
      <c r="K340">
        <f>SUMIFS($I$2:I340,$D$2:D340,D340)-SUMIFS($J$2:J340,$D$2:D340,D340)</f>
        <v>0</v>
      </c>
    </row>
    <row r="341" spans="5:11" x14ac:dyDescent="0.3">
      <c r="E341">
        <f>IFERROR(_xlfn.XLOOKUP(D341,'ITEM MASTER'!$A:$A,'ITEM MASTER'!$B:$B,""),"")</f>
        <v>0</v>
      </c>
      <c r="F341" t="s">
        <v>44</v>
      </c>
      <c r="H341">
        <f>IFERROR(_xlfn.XLOOKUP(D341,'ITEM MASTER'!$A:$A,'ITEM MASTER'!$I:$I,"")*IF(F341="CARTON",_xlfn.XLOOKUP(D341,'ITEM MASTER'!$A:$A,'ITEM MASTER'!$H:$H,1),1),"")</f>
        <v>0</v>
      </c>
      <c r="I341">
        <f>IF(OR(C341="PURCHASE",C341="OPENING"),G341*IF(F341="CARTON",_xlfn.XLOOKUP(D341,'ITEM MASTER'!$A:$A,'ITEM MASTER'!$H:$H,1),1),0)</f>
        <v>0</v>
      </c>
      <c r="J341">
        <f>IF(C341="SALE",G341*IF(F341="CARTON",_xlfn.XLOOKUP(D341,'ITEM MASTER'!$A:$A,'ITEM MASTER'!$H:$H,1),1),0)</f>
        <v>0</v>
      </c>
      <c r="K341">
        <f>SUMIFS($I$2:I341,$D$2:D341,D341)-SUMIFS($J$2:J341,$D$2:D341,D341)</f>
        <v>0</v>
      </c>
    </row>
    <row r="342" spans="5:11" x14ac:dyDescent="0.3">
      <c r="E342">
        <f>IFERROR(_xlfn.XLOOKUP(D342,'ITEM MASTER'!$A:$A,'ITEM MASTER'!$B:$B,""),"")</f>
        <v>0</v>
      </c>
      <c r="F342" t="s">
        <v>44</v>
      </c>
      <c r="H342">
        <f>IFERROR(_xlfn.XLOOKUP(D342,'ITEM MASTER'!$A:$A,'ITEM MASTER'!$I:$I,"")*IF(F342="CARTON",_xlfn.XLOOKUP(D342,'ITEM MASTER'!$A:$A,'ITEM MASTER'!$H:$H,1),1),"")</f>
        <v>0</v>
      </c>
      <c r="I342">
        <f>IF(OR(C342="PURCHASE",C342="OPENING"),G342*IF(F342="CARTON",_xlfn.XLOOKUP(D342,'ITEM MASTER'!$A:$A,'ITEM MASTER'!$H:$H,1),1),0)</f>
        <v>0</v>
      </c>
      <c r="J342">
        <f>IF(C342="SALE",G342*IF(F342="CARTON",_xlfn.XLOOKUP(D342,'ITEM MASTER'!$A:$A,'ITEM MASTER'!$H:$H,1),1),0)</f>
        <v>0</v>
      </c>
      <c r="K342">
        <f>SUMIFS($I$2:I342,$D$2:D342,D342)-SUMIFS($J$2:J342,$D$2:D342,D342)</f>
        <v>0</v>
      </c>
    </row>
    <row r="343" spans="5:11" x14ac:dyDescent="0.3">
      <c r="E343">
        <f>IFERROR(_xlfn.XLOOKUP(D343,'ITEM MASTER'!$A:$A,'ITEM MASTER'!$B:$B,""),"")</f>
        <v>0</v>
      </c>
      <c r="F343" t="s">
        <v>44</v>
      </c>
      <c r="H343">
        <f>IFERROR(_xlfn.XLOOKUP(D343,'ITEM MASTER'!$A:$A,'ITEM MASTER'!$I:$I,"")*IF(F343="CARTON",_xlfn.XLOOKUP(D343,'ITEM MASTER'!$A:$A,'ITEM MASTER'!$H:$H,1),1),"")</f>
        <v>0</v>
      </c>
      <c r="I343">
        <f>IF(OR(C343="PURCHASE",C343="OPENING"),G343*IF(F343="CARTON",_xlfn.XLOOKUP(D343,'ITEM MASTER'!$A:$A,'ITEM MASTER'!$H:$H,1),1),0)</f>
        <v>0</v>
      </c>
      <c r="J343">
        <f>IF(C343="SALE",G343*IF(F343="CARTON",_xlfn.XLOOKUP(D343,'ITEM MASTER'!$A:$A,'ITEM MASTER'!$H:$H,1),1),0)</f>
        <v>0</v>
      </c>
      <c r="K343">
        <f>SUMIFS($I$2:I343,$D$2:D343,D343)-SUMIFS($J$2:J343,$D$2:D343,D343)</f>
        <v>0</v>
      </c>
    </row>
    <row r="344" spans="5:11" x14ac:dyDescent="0.3">
      <c r="E344">
        <f>IFERROR(_xlfn.XLOOKUP(D344,'ITEM MASTER'!$A:$A,'ITEM MASTER'!$B:$B,""),"")</f>
        <v>0</v>
      </c>
      <c r="F344" t="s">
        <v>44</v>
      </c>
      <c r="H344">
        <f>IFERROR(_xlfn.XLOOKUP(D344,'ITEM MASTER'!$A:$A,'ITEM MASTER'!$I:$I,"")*IF(F344="CARTON",_xlfn.XLOOKUP(D344,'ITEM MASTER'!$A:$A,'ITEM MASTER'!$H:$H,1),1),"")</f>
        <v>0</v>
      </c>
      <c r="I344">
        <f>IF(OR(C344="PURCHASE",C344="OPENING"),G344*IF(F344="CARTON",_xlfn.XLOOKUP(D344,'ITEM MASTER'!$A:$A,'ITEM MASTER'!$H:$H,1),1),0)</f>
        <v>0</v>
      </c>
      <c r="J344">
        <f>IF(C344="SALE",G344*IF(F344="CARTON",_xlfn.XLOOKUP(D344,'ITEM MASTER'!$A:$A,'ITEM MASTER'!$H:$H,1),1),0)</f>
        <v>0</v>
      </c>
      <c r="K344">
        <f>SUMIFS($I$2:I344,$D$2:D344,D344)-SUMIFS($J$2:J344,$D$2:D344,D344)</f>
        <v>0</v>
      </c>
    </row>
    <row r="345" spans="5:11" x14ac:dyDescent="0.3">
      <c r="E345">
        <f>IFERROR(_xlfn.XLOOKUP(D345,'ITEM MASTER'!$A:$A,'ITEM MASTER'!$B:$B,""),"")</f>
        <v>0</v>
      </c>
      <c r="F345" t="s">
        <v>44</v>
      </c>
      <c r="H345">
        <f>IFERROR(_xlfn.XLOOKUP(D345,'ITEM MASTER'!$A:$A,'ITEM MASTER'!$I:$I,"")*IF(F345="CARTON",_xlfn.XLOOKUP(D345,'ITEM MASTER'!$A:$A,'ITEM MASTER'!$H:$H,1),1),"")</f>
        <v>0</v>
      </c>
      <c r="I345">
        <f>IF(OR(C345="PURCHASE",C345="OPENING"),G345*IF(F345="CARTON",_xlfn.XLOOKUP(D345,'ITEM MASTER'!$A:$A,'ITEM MASTER'!$H:$H,1),1),0)</f>
        <v>0</v>
      </c>
      <c r="J345">
        <f>IF(C345="SALE",G345*IF(F345="CARTON",_xlfn.XLOOKUP(D345,'ITEM MASTER'!$A:$A,'ITEM MASTER'!$H:$H,1),1),0)</f>
        <v>0</v>
      </c>
      <c r="K345">
        <f>SUMIFS($I$2:I345,$D$2:D345,D345)-SUMIFS($J$2:J345,$D$2:D345,D345)</f>
        <v>0</v>
      </c>
    </row>
    <row r="346" spans="5:11" x14ac:dyDescent="0.3">
      <c r="E346">
        <f>IFERROR(_xlfn.XLOOKUP(D346,'ITEM MASTER'!$A:$A,'ITEM MASTER'!$B:$B,""),"")</f>
        <v>0</v>
      </c>
      <c r="F346" t="s">
        <v>44</v>
      </c>
      <c r="H346">
        <f>IFERROR(_xlfn.XLOOKUP(D346,'ITEM MASTER'!$A:$A,'ITEM MASTER'!$I:$I,"")*IF(F346="CARTON",_xlfn.XLOOKUP(D346,'ITEM MASTER'!$A:$A,'ITEM MASTER'!$H:$H,1),1),"")</f>
        <v>0</v>
      </c>
      <c r="I346">
        <f>IF(OR(C346="PURCHASE",C346="OPENING"),G346*IF(F346="CARTON",_xlfn.XLOOKUP(D346,'ITEM MASTER'!$A:$A,'ITEM MASTER'!$H:$H,1),1),0)</f>
        <v>0</v>
      </c>
      <c r="J346">
        <f>IF(C346="SALE",G346*IF(F346="CARTON",_xlfn.XLOOKUP(D346,'ITEM MASTER'!$A:$A,'ITEM MASTER'!$H:$H,1),1),0)</f>
        <v>0</v>
      </c>
      <c r="K346">
        <f>SUMIFS($I$2:I346,$D$2:D346,D346)-SUMIFS($J$2:J346,$D$2:D346,D346)</f>
        <v>0</v>
      </c>
    </row>
    <row r="347" spans="5:11" x14ac:dyDescent="0.3">
      <c r="E347">
        <f>IFERROR(_xlfn.XLOOKUP(D347,'ITEM MASTER'!$A:$A,'ITEM MASTER'!$B:$B,""),"")</f>
        <v>0</v>
      </c>
      <c r="F347" t="s">
        <v>44</v>
      </c>
      <c r="H347">
        <f>IFERROR(_xlfn.XLOOKUP(D347,'ITEM MASTER'!$A:$A,'ITEM MASTER'!$I:$I,"")*IF(F347="CARTON",_xlfn.XLOOKUP(D347,'ITEM MASTER'!$A:$A,'ITEM MASTER'!$H:$H,1),1),"")</f>
        <v>0</v>
      </c>
      <c r="I347">
        <f>IF(OR(C347="PURCHASE",C347="OPENING"),G347*IF(F347="CARTON",_xlfn.XLOOKUP(D347,'ITEM MASTER'!$A:$A,'ITEM MASTER'!$H:$H,1),1),0)</f>
        <v>0</v>
      </c>
      <c r="J347">
        <f>IF(C347="SALE",G347*IF(F347="CARTON",_xlfn.XLOOKUP(D347,'ITEM MASTER'!$A:$A,'ITEM MASTER'!$H:$H,1),1),0)</f>
        <v>0</v>
      </c>
      <c r="K347">
        <f>SUMIFS($I$2:I347,$D$2:D347,D347)-SUMIFS($J$2:J347,$D$2:D347,D347)</f>
        <v>0</v>
      </c>
    </row>
    <row r="348" spans="5:11" x14ac:dyDescent="0.3">
      <c r="E348">
        <f>IFERROR(_xlfn.XLOOKUP(D348,'ITEM MASTER'!$A:$A,'ITEM MASTER'!$B:$B,""),"")</f>
        <v>0</v>
      </c>
      <c r="F348" t="s">
        <v>44</v>
      </c>
      <c r="H348">
        <f>IFERROR(_xlfn.XLOOKUP(D348,'ITEM MASTER'!$A:$A,'ITEM MASTER'!$I:$I,"")*IF(F348="CARTON",_xlfn.XLOOKUP(D348,'ITEM MASTER'!$A:$A,'ITEM MASTER'!$H:$H,1),1),"")</f>
        <v>0</v>
      </c>
      <c r="I348">
        <f>IF(OR(C348="PURCHASE",C348="OPENING"),G348*IF(F348="CARTON",_xlfn.XLOOKUP(D348,'ITEM MASTER'!$A:$A,'ITEM MASTER'!$H:$H,1),1),0)</f>
        <v>0</v>
      </c>
      <c r="J348">
        <f>IF(C348="SALE",G348*IF(F348="CARTON",_xlfn.XLOOKUP(D348,'ITEM MASTER'!$A:$A,'ITEM MASTER'!$H:$H,1),1),0)</f>
        <v>0</v>
      </c>
      <c r="K348">
        <f>SUMIFS($I$2:I348,$D$2:D348,D348)-SUMIFS($J$2:J348,$D$2:D348,D348)</f>
        <v>0</v>
      </c>
    </row>
    <row r="349" spans="5:11" x14ac:dyDescent="0.3">
      <c r="E349">
        <f>IFERROR(_xlfn.XLOOKUP(D349,'ITEM MASTER'!$A:$A,'ITEM MASTER'!$B:$B,""),"")</f>
        <v>0</v>
      </c>
      <c r="F349" t="s">
        <v>44</v>
      </c>
      <c r="H349">
        <f>IFERROR(_xlfn.XLOOKUP(D349,'ITEM MASTER'!$A:$A,'ITEM MASTER'!$I:$I,"")*IF(F349="CARTON",_xlfn.XLOOKUP(D349,'ITEM MASTER'!$A:$A,'ITEM MASTER'!$H:$H,1),1),"")</f>
        <v>0</v>
      </c>
      <c r="I349">
        <f>IF(OR(C349="PURCHASE",C349="OPENING"),G349*IF(F349="CARTON",_xlfn.XLOOKUP(D349,'ITEM MASTER'!$A:$A,'ITEM MASTER'!$H:$H,1),1),0)</f>
        <v>0</v>
      </c>
      <c r="J349">
        <f>IF(C349="SALE",G349*IF(F349="CARTON",_xlfn.XLOOKUP(D349,'ITEM MASTER'!$A:$A,'ITEM MASTER'!$H:$H,1),1),0)</f>
        <v>0</v>
      </c>
      <c r="K349">
        <f>SUMIFS($I$2:I349,$D$2:D349,D349)-SUMIFS($J$2:J349,$D$2:D349,D349)</f>
        <v>0</v>
      </c>
    </row>
    <row r="350" spans="5:11" x14ac:dyDescent="0.3">
      <c r="E350">
        <f>IFERROR(_xlfn.XLOOKUP(D350,'ITEM MASTER'!$A:$A,'ITEM MASTER'!$B:$B,""),"")</f>
        <v>0</v>
      </c>
      <c r="F350" t="s">
        <v>44</v>
      </c>
      <c r="H350">
        <f>IFERROR(_xlfn.XLOOKUP(D350,'ITEM MASTER'!$A:$A,'ITEM MASTER'!$I:$I,"")*IF(F350="CARTON",_xlfn.XLOOKUP(D350,'ITEM MASTER'!$A:$A,'ITEM MASTER'!$H:$H,1),1),"")</f>
        <v>0</v>
      </c>
      <c r="I350">
        <f>IF(OR(C350="PURCHASE",C350="OPENING"),G350*IF(F350="CARTON",_xlfn.XLOOKUP(D350,'ITEM MASTER'!$A:$A,'ITEM MASTER'!$H:$H,1),1),0)</f>
        <v>0</v>
      </c>
      <c r="J350">
        <f>IF(C350="SALE",G350*IF(F350="CARTON",_xlfn.XLOOKUP(D350,'ITEM MASTER'!$A:$A,'ITEM MASTER'!$H:$H,1),1),0)</f>
        <v>0</v>
      </c>
      <c r="K350">
        <f>SUMIFS($I$2:I350,$D$2:D350,D350)-SUMIFS($J$2:J350,$D$2:D350,D350)</f>
        <v>0</v>
      </c>
    </row>
    <row r="351" spans="5:11" x14ac:dyDescent="0.3">
      <c r="E351">
        <f>IFERROR(_xlfn.XLOOKUP(D351,'ITEM MASTER'!$A:$A,'ITEM MASTER'!$B:$B,""),"")</f>
        <v>0</v>
      </c>
      <c r="F351" t="s">
        <v>44</v>
      </c>
      <c r="H351">
        <f>IFERROR(_xlfn.XLOOKUP(D351,'ITEM MASTER'!$A:$A,'ITEM MASTER'!$I:$I,"")*IF(F351="CARTON",_xlfn.XLOOKUP(D351,'ITEM MASTER'!$A:$A,'ITEM MASTER'!$H:$H,1),1),"")</f>
        <v>0</v>
      </c>
      <c r="I351">
        <f>IF(OR(C351="PURCHASE",C351="OPENING"),G351*IF(F351="CARTON",_xlfn.XLOOKUP(D351,'ITEM MASTER'!$A:$A,'ITEM MASTER'!$H:$H,1),1),0)</f>
        <v>0</v>
      </c>
      <c r="J351">
        <f>IF(C351="SALE",G351*IF(F351="CARTON",_xlfn.XLOOKUP(D351,'ITEM MASTER'!$A:$A,'ITEM MASTER'!$H:$H,1),1),0)</f>
        <v>0</v>
      </c>
      <c r="K351">
        <f>SUMIFS($I$2:I351,$D$2:D351,D351)-SUMIFS($J$2:J351,$D$2:D351,D351)</f>
        <v>0</v>
      </c>
    </row>
    <row r="352" spans="5:11" x14ac:dyDescent="0.3">
      <c r="E352">
        <f>IFERROR(_xlfn.XLOOKUP(D352,'ITEM MASTER'!$A:$A,'ITEM MASTER'!$B:$B,""),"")</f>
        <v>0</v>
      </c>
      <c r="F352" t="s">
        <v>44</v>
      </c>
      <c r="H352">
        <f>IFERROR(_xlfn.XLOOKUP(D352,'ITEM MASTER'!$A:$A,'ITEM MASTER'!$I:$I,"")*IF(F352="CARTON",_xlfn.XLOOKUP(D352,'ITEM MASTER'!$A:$A,'ITEM MASTER'!$H:$H,1),1),"")</f>
        <v>0</v>
      </c>
      <c r="I352">
        <f>IF(OR(C352="PURCHASE",C352="OPENING"),G352*IF(F352="CARTON",_xlfn.XLOOKUP(D352,'ITEM MASTER'!$A:$A,'ITEM MASTER'!$H:$H,1),1),0)</f>
        <v>0</v>
      </c>
      <c r="J352">
        <f>IF(C352="SALE",G352*IF(F352="CARTON",_xlfn.XLOOKUP(D352,'ITEM MASTER'!$A:$A,'ITEM MASTER'!$H:$H,1),1),0)</f>
        <v>0</v>
      </c>
      <c r="K352">
        <f>SUMIFS($I$2:I352,$D$2:D352,D352)-SUMIFS($J$2:J352,$D$2:D352,D352)</f>
        <v>0</v>
      </c>
    </row>
    <row r="353" spans="5:11" x14ac:dyDescent="0.3">
      <c r="E353">
        <f>IFERROR(_xlfn.XLOOKUP(D353,'ITEM MASTER'!$A:$A,'ITEM MASTER'!$B:$B,""),"")</f>
        <v>0</v>
      </c>
      <c r="F353" t="s">
        <v>44</v>
      </c>
      <c r="H353">
        <f>IFERROR(_xlfn.XLOOKUP(D353,'ITEM MASTER'!$A:$A,'ITEM MASTER'!$I:$I,"")*IF(F353="CARTON",_xlfn.XLOOKUP(D353,'ITEM MASTER'!$A:$A,'ITEM MASTER'!$H:$H,1),1),"")</f>
        <v>0</v>
      </c>
      <c r="I353">
        <f>IF(OR(C353="PURCHASE",C353="OPENING"),G353*IF(F353="CARTON",_xlfn.XLOOKUP(D353,'ITEM MASTER'!$A:$A,'ITEM MASTER'!$H:$H,1),1),0)</f>
        <v>0</v>
      </c>
      <c r="J353">
        <f>IF(C353="SALE",G353*IF(F353="CARTON",_xlfn.XLOOKUP(D353,'ITEM MASTER'!$A:$A,'ITEM MASTER'!$H:$H,1),1),0)</f>
        <v>0</v>
      </c>
      <c r="K353">
        <f>SUMIFS($I$2:I353,$D$2:D353,D353)-SUMIFS($J$2:J353,$D$2:D353,D353)</f>
        <v>0</v>
      </c>
    </row>
    <row r="354" spans="5:11" x14ac:dyDescent="0.3">
      <c r="E354">
        <f>IFERROR(_xlfn.XLOOKUP(D354,'ITEM MASTER'!$A:$A,'ITEM MASTER'!$B:$B,""),"")</f>
        <v>0</v>
      </c>
      <c r="F354" t="s">
        <v>44</v>
      </c>
      <c r="H354">
        <f>IFERROR(_xlfn.XLOOKUP(D354,'ITEM MASTER'!$A:$A,'ITEM MASTER'!$I:$I,"")*IF(F354="CARTON",_xlfn.XLOOKUP(D354,'ITEM MASTER'!$A:$A,'ITEM MASTER'!$H:$H,1),1),"")</f>
        <v>0</v>
      </c>
      <c r="I354">
        <f>IF(OR(C354="PURCHASE",C354="OPENING"),G354*IF(F354="CARTON",_xlfn.XLOOKUP(D354,'ITEM MASTER'!$A:$A,'ITEM MASTER'!$H:$H,1),1),0)</f>
        <v>0</v>
      </c>
      <c r="J354">
        <f>IF(C354="SALE",G354*IF(F354="CARTON",_xlfn.XLOOKUP(D354,'ITEM MASTER'!$A:$A,'ITEM MASTER'!$H:$H,1),1),0)</f>
        <v>0</v>
      </c>
      <c r="K354">
        <f>SUMIFS($I$2:I354,$D$2:D354,D354)-SUMIFS($J$2:J354,$D$2:D354,D354)</f>
        <v>0</v>
      </c>
    </row>
    <row r="355" spans="5:11" x14ac:dyDescent="0.3">
      <c r="E355">
        <f>IFERROR(_xlfn.XLOOKUP(D355,'ITEM MASTER'!$A:$A,'ITEM MASTER'!$B:$B,""),"")</f>
        <v>0</v>
      </c>
      <c r="F355" t="s">
        <v>44</v>
      </c>
      <c r="H355">
        <f>IFERROR(_xlfn.XLOOKUP(D355,'ITEM MASTER'!$A:$A,'ITEM MASTER'!$I:$I,"")*IF(F355="CARTON",_xlfn.XLOOKUP(D355,'ITEM MASTER'!$A:$A,'ITEM MASTER'!$H:$H,1),1),"")</f>
        <v>0</v>
      </c>
      <c r="I355">
        <f>IF(OR(C355="PURCHASE",C355="OPENING"),G355*IF(F355="CARTON",_xlfn.XLOOKUP(D355,'ITEM MASTER'!$A:$A,'ITEM MASTER'!$H:$H,1),1),0)</f>
        <v>0</v>
      </c>
      <c r="J355">
        <f>IF(C355="SALE",G355*IF(F355="CARTON",_xlfn.XLOOKUP(D355,'ITEM MASTER'!$A:$A,'ITEM MASTER'!$H:$H,1),1),0)</f>
        <v>0</v>
      </c>
      <c r="K355">
        <f>SUMIFS($I$2:I355,$D$2:D355,D355)-SUMIFS($J$2:J355,$D$2:D355,D355)</f>
        <v>0</v>
      </c>
    </row>
    <row r="356" spans="5:11" x14ac:dyDescent="0.3">
      <c r="E356">
        <f>IFERROR(_xlfn.XLOOKUP(D356,'ITEM MASTER'!$A:$A,'ITEM MASTER'!$B:$B,""),"")</f>
        <v>0</v>
      </c>
      <c r="F356" t="s">
        <v>44</v>
      </c>
      <c r="H356">
        <f>IFERROR(_xlfn.XLOOKUP(D356,'ITEM MASTER'!$A:$A,'ITEM MASTER'!$I:$I,"")*IF(F356="CARTON",_xlfn.XLOOKUP(D356,'ITEM MASTER'!$A:$A,'ITEM MASTER'!$H:$H,1),1),"")</f>
        <v>0</v>
      </c>
      <c r="I356">
        <f>IF(OR(C356="PURCHASE",C356="OPENING"),G356*IF(F356="CARTON",_xlfn.XLOOKUP(D356,'ITEM MASTER'!$A:$A,'ITEM MASTER'!$H:$H,1),1),0)</f>
        <v>0</v>
      </c>
      <c r="J356">
        <f>IF(C356="SALE",G356*IF(F356="CARTON",_xlfn.XLOOKUP(D356,'ITEM MASTER'!$A:$A,'ITEM MASTER'!$H:$H,1),1),0)</f>
        <v>0</v>
      </c>
      <c r="K356">
        <f>SUMIFS($I$2:I356,$D$2:D356,D356)-SUMIFS($J$2:J356,$D$2:D356,D356)</f>
        <v>0</v>
      </c>
    </row>
    <row r="357" spans="5:11" x14ac:dyDescent="0.3">
      <c r="E357">
        <f>IFERROR(_xlfn.XLOOKUP(D357,'ITEM MASTER'!$A:$A,'ITEM MASTER'!$B:$B,""),"")</f>
        <v>0</v>
      </c>
      <c r="F357" t="s">
        <v>44</v>
      </c>
      <c r="H357">
        <f>IFERROR(_xlfn.XLOOKUP(D357,'ITEM MASTER'!$A:$A,'ITEM MASTER'!$I:$I,"")*IF(F357="CARTON",_xlfn.XLOOKUP(D357,'ITEM MASTER'!$A:$A,'ITEM MASTER'!$H:$H,1),1),"")</f>
        <v>0</v>
      </c>
      <c r="I357">
        <f>IF(OR(C357="PURCHASE",C357="OPENING"),G357*IF(F357="CARTON",_xlfn.XLOOKUP(D357,'ITEM MASTER'!$A:$A,'ITEM MASTER'!$H:$H,1),1),0)</f>
        <v>0</v>
      </c>
      <c r="J357">
        <f>IF(C357="SALE",G357*IF(F357="CARTON",_xlfn.XLOOKUP(D357,'ITEM MASTER'!$A:$A,'ITEM MASTER'!$H:$H,1),1),0)</f>
        <v>0</v>
      </c>
      <c r="K357">
        <f>SUMIFS($I$2:I357,$D$2:D357,D357)-SUMIFS($J$2:J357,$D$2:D357,D357)</f>
        <v>0</v>
      </c>
    </row>
    <row r="358" spans="5:11" x14ac:dyDescent="0.3">
      <c r="E358">
        <f>IFERROR(_xlfn.XLOOKUP(D358,'ITEM MASTER'!$A:$A,'ITEM MASTER'!$B:$B,""),"")</f>
        <v>0</v>
      </c>
      <c r="F358" t="s">
        <v>44</v>
      </c>
      <c r="H358">
        <f>IFERROR(_xlfn.XLOOKUP(D358,'ITEM MASTER'!$A:$A,'ITEM MASTER'!$I:$I,"")*IF(F358="CARTON",_xlfn.XLOOKUP(D358,'ITEM MASTER'!$A:$A,'ITEM MASTER'!$H:$H,1),1),"")</f>
        <v>0</v>
      </c>
      <c r="I358">
        <f>IF(OR(C358="PURCHASE",C358="OPENING"),G358*IF(F358="CARTON",_xlfn.XLOOKUP(D358,'ITEM MASTER'!$A:$A,'ITEM MASTER'!$H:$H,1),1),0)</f>
        <v>0</v>
      </c>
      <c r="J358">
        <f>IF(C358="SALE",G358*IF(F358="CARTON",_xlfn.XLOOKUP(D358,'ITEM MASTER'!$A:$A,'ITEM MASTER'!$H:$H,1),1),0)</f>
        <v>0</v>
      </c>
      <c r="K358">
        <f>SUMIFS($I$2:I358,$D$2:D358,D358)-SUMIFS($J$2:J358,$D$2:D358,D358)</f>
        <v>0</v>
      </c>
    </row>
    <row r="359" spans="5:11" x14ac:dyDescent="0.3">
      <c r="E359">
        <f>IFERROR(_xlfn.XLOOKUP(D359,'ITEM MASTER'!$A:$A,'ITEM MASTER'!$B:$B,""),"")</f>
        <v>0</v>
      </c>
      <c r="F359" t="s">
        <v>44</v>
      </c>
      <c r="H359">
        <f>IFERROR(_xlfn.XLOOKUP(D359,'ITEM MASTER'!$A:$A,'ITEM MASTER'!$I:$I,"")*IF(F359="CARTON",_xlfn.XLOOKUP(D359,'ITEM MASTER'!$A:$A,'ITEM MASTER'!$H:$H,1),1),"")</f>
        <v>0</v>
      </c>
      <c r="I359">
        <f>IF(OR(C359="PURCHASE",C359="OPENING"),G359*IF(F359="CARTON",_xlfn.XLOOKUP(D359,'ITEM MASTER'!$A:$A,'ITEM MASTER'!$H:$H,1),1),0)</f>
        <v>0</v>
      </c>
      <c r="J359">
        <f>IF(C359="SALE",G359*IF(F359="CARTON",_xlfn.XLOOKUP(D359,'ITEM MASTER'!$A:$A,'ITEM MASTER'!$H:$H,1),1),0)</f>
        <v>0</v>
      </c>
      <c r="K359">
        <f>SUMIFS($I$2:I359,$D$2:D359,D359)-SUMIFS($J$2:J359,$D$2:D359,D359)</f>
        <v>0</v>
      </c>
    </row>
    <row r="360" spans="5:11" x14ac:dyDescent="0.3">
      <c r="E360">
        <f>IFERROR(_xlfn.XLOOKUP(D360,'ITEM MASTER'!$A:$A,'ITEM MASTER'!$B:$B,""),"")</f>
        <v>0</v>
      </c>
      <c r="F360" t="s">
        <v>44</v>
      </c>
      <c r="H360">
        <f>IFERROR(_xlfn.XLOOKUP(D360,'ITEM MASTER'!$A:$A,'ITEM MASTER'!$I:$I,"")*IF(F360="CARTON",_xlfn.XLOOKUP(D360,'ITEM MASTER'!$A:$A,'ITEM MASTER'!$H:$H,1),1),"")</f>
        <v>0</v>
      </c>
      <c r="I360">
        <f>IF(OR(C360="PURCHASE",C360="OPENING"),G360*IF(F360="CARTON",_xlfn.XLOOKUP(D360,'ITEM MASTER'!$A:$A,'ITEM MASTER'!$H:$H,1),1),0)</f>
        <v>0</v>
      </c>
      <c r="J360">
        <f>IF(C360="SALE",G360*IF(F360="CARTON",_xlfn.XLOOKUP(D360,'ITEM MASTER'!$A:$A,'ITEM MASTER'!$H:$H,1),1),0)</f>
        <v>0</v>
      </c>
      <c r="K360">
        <f>SUMIFS($I$2:I360,$D$2:D360,D360)-SUMIFS($J$2:J360,$D$2:D360,D360)</f>
        <v>0</v>
      </c>
    </row>
    <row r="361" spans="5:11" x14ac:dyDescent="0.3">
      <c r="E361">
        <f>IFERROR(_xlfn.XLOOKUP(D361,'ITEM MASTER'!$A:$A,'ITEM MASTER'!$B:$B,""),"")</f>
        <v>0</v>
      </c>
      <c r="F361" t="s">
        <v>44</v>
      </c>
      <c r="H361">
        <f>IFERROR(_xlfn.XLOOKUP(D361,'ITEM MASTER'!$A:$A,'ITEM MASTER'!$I:$I,"")*IF(F361="CARTON",_xlfn.XLOOKUP(D361,'ITEM MASTER'!$A:$A,'ITEM MASTER'!$H:$H,1),1),"")</f>
        <v>0</v>
      </c>
      <c r="I361">
        <f>IF(OR(C361="PURCHASE",C361="OPENING"),G361*IF(F361="CARTON",_xlfn.XLOOKUP(D361,'ITEM MASTER'!$A:$A,'ITEM MASTER'!$H:$H,1),1),0)</f>
        <v>0</v>
      </c>
      <c r="J361">
        <f>IF(C361="SALE",G361*IF(F361="CARTON",_xlfn.XLOOKUP(D361,'ITEM MASTER'!$A:$A,'ITEM MASTER'!$H:$H,1),1),0)</f>
        <v>0</v>
      </c>
      <c r="K361">
        <f>SUMIFS($I$2:I361,$D$2:D361,D361)-SUMIFS($J$2:J361,$D$2:D361,D361)</f>
        <v>0</v>
      </c>
    </row>
    <row r="362" spans="5:11" x14ac:dyDescent="0.3">
      <c r="E362">
        <f>IFERROR(_xlfn.XLOOKUP(D362,'ITEM MASTER'!$A:$A,'ITEM MASTER'!$B:$B,""),"")</f>
        <v>0</v>
      </c>
      <c r="F362" t="s">
        <v>44</v>
      </c>
      <c r="H362">
        <f>IFERROR(_xlfn.XLOOKUP(D362,'ITEM MASTER'!$A:$A,'ITEM MASTER'!$I:$I,"")*IF(F362="CARTON",_xlfn.XLOOKUP(D362,'ITEM MASTER'!$A:$A,'ITEM MASTER'!$H:$H,1),1),"")</f>
        <v>0</v>
      </c>
      <c r="I362">
        <f>IF(OR(C362="PURCHASE",C362="OPENING"),G362*IF(F362="CARTON",_xlfn.XLOOKUP(D362,'ITEM MASTER'!$A:$A,'ITEM MASTER'!$H:$H,1),1),0)</f>
        <v>0</v>
      </c>
      <c r="J362">
        <f>IF(C362="SALE",G362*IF(F362="CARTON",_xlfn.XLOOKUP(D362,'ITEM MASTER'!$A:$A,'ITEM MASTER'!$H:$H,1),1),0)</f>
        <v>0</v>
      </c>
      <c r="K362">
        <f>SUMIFS($I$2:I362,$D$2:D362,D362)-SUMIFS($J$2:J362,$D$2:D362,D362)</f>
        <v>0</v>
      </c>
    </row>
    <row r="363" spans="5:11" x14ac:dyDescent="0.3">
      <c r="E363">
        <f>IFERROR(_xlfn.XLOOKUP(D363,'ITEM MASTER'!$A:$A,'ITEM MASTER'!$B:$B,""),"")</f>
        <v>0</v>
      </c>
      <c r="F363" t="s">
        <v>44</v>
      </c>
      <c r="H363">
        <f>IFERROR(_xlfn.XLOOKUP(D363,'ITEM MASTER'!$A:$A,'ITEM MASTER'!$I:$I,"")*IF(F363="CARTON",_xlfn.XLOOKUP(D363,'ITEM MASTER'!$A:$A,'ITEM MASTER'!$H:$H,1),1),"")</f>
        <v>0</v>
      </c>
      <c r="I363">
        <f>IF(OR(C363="PURCHASE",C363="OPENING"),G363*IF(F363="CARTON",_xlfn.XLOOKUP(D363,'ITEM MASTER'!$A:$A,'ITEM MASTER'!$H:$H,1),1),0)</f>
        <v>0</v>
      </c>
      <c r="J363">
        <f>IF(C363="SALE",G363*IF(F363="CARTON",_xlfn.XLOOKUP(D363,'ITEM MASTER'!$A:$A,'ITEM MASTER'!$H:$H,1),1),0)</f>
        <v>0</v>
      </c>
      <c r="K363">
        <f>SUMIFS($I$2:I363,$D$2:D363,D363)-SUMIFS($J$2:J363,$D$2:D363,D363)</f>
        <v>0</v>
      </c>
    </row>
    <row r="364" spans="5:11" x14ac:dyDescent="0.3">
      <c r="E364">
        <f>IFERROR(_xlfn.XLOOKUP(D364,'ITEM MASTER'!$A:$A,'ITEM MASTER'!$B:$B,""),"")</f>
        <v>0</v>
      </c>
      <c r="F364" t="s">
        <v>44</v>
      </c>
      <c r="H364">
        <f>IFERROR(_xlfn.XLOOKUP(D364,'ITEM MASTER'!$A:$A,'ITEM MASTER'!$I:$I,"")*IF(F364="CARTON",_xlfn.XLOOKUP(D364,'ITEM MASTER'!$A:$A,'ITEM MASTER'!$H:$H,1),1),"")</f>
        <v>0</v>
      </c>
      <c r="I364">
        <f>IF(OR(C364="PURCHASE",C364="OPENING"),G364*IF(F364="CARTON",_xlfn.XLOOKUP(D364,'ITEM MASTER'!$A:$A,'ITEM MASTER'!$H:$H,1),1),0)</f>
        <v>0</v>
      </c>
      <c r="J364">
        <f>IF(C364="SALE",G364*IF(F364="CARTON",_xlfn.XLOOKUP(D364,'ITEM MASTER'!$A:$A,'ITEM MASTER'!$H:$H,1),1),0)</f>
        <v>0</v>
      </c>
      <c r="K364">
        <f>SUMIFS($I$2:I364,$D$2:D364,D364)-SUMIFS($J$2:J364,$D$2:D364,D364)</f>
        <v>0</v>
      </c>
    </row>
    <row r="365" spans="5:11" x14ac:dyDescent="0.3">
      <c r="E365">
        <f>IFERROR(_xlfn.XLOOKUP(D365,'ITEM MASTER'!$A:$A,'ITEM MASTER'!$B:$B,""),"")</f>
        <v>0</v>
      </c>
      <c r="F365" t="s">
        <v>44</v>
      </c>
      <c r="H365">
        <f>IFERROR(_xlfn.XLOOKUP(D365,'ITEM MASTER'!$A:$A,'ITEM MASTER'!$I:$I,"")*IF(F365="CARTON",_xlfn.XLOOKUP(D365,'ITEM MASTER'!$A:$A,'ITEM MASTER'!$H:$H,1),1),"")</f>
        <v>0</v>
      </c>
      <c r="I365">
        <f>IF(OR(C365="PURCHASE",C365="OPENING"),G365*IF(F365="CARTON",_xlfn.XLOOKUP(D365,'ITEM MASTER'!$A:$A,'ITEM MASTER'!$H:$H,1),1),0)</f>
        <v>0</v>
      </c>
      <c r="J365">
        <f>IF(C365="SALE",G365*IF(F365="CARTON",_xlfn.XLOOKUP(D365,'ITEM MASTER'!$A:$A,'ITEM MASTER'!$H:$H,1),1),0)</f>
        <v>0</v>
      </c>
      <c r="K365">
        <f>SUMIFS($I$2:I365,$D$2:D365,D365)-SUMIFS($J$2:J365,$D$2:D365,D365)</f>
        <v>0</v>
      </c>
    </row>
    <row r="366" spans="5:11" x14ac:dyDescent="0.3">
      <c r="E366">
        <f>IFERROR(_xlfn.XLOOKUP(D366,'ITEM MASTER'!$A:$A,'ITEM MASTER'!$B:$B,""),"")</f>
        <v>0</v>
      </c>
      <c r="F366" t="s">
        <v>44</v>
      </c>
      <c r="H366">
        <f>IFERROR(_xlfn.XLOOKUP(D366,'ITEM MASTER'!$A:$A,'ITEM MASTER'!$I:$I,"")*IF(F366="CARTON",_xlfn.XLOOKUP(D366,'ITEM MASTER'!$A:$A,'ITEM MASTER'!$H:$H,1),1),"")</f>
        <v>0</v>
      </c>
      <c r="I366">
        <f>IF(OR(C366="PURCHASE",C366="OPENING"),G366*IF(F366="CARTON",_xlfn.XLOOKUP(D366,'ITEM MASTER'!$A:$A,'ITEM MASTER'!$H:$H,1),1),0)</f>
        <v>0</v>
      </c>
      <c r="J366">
        <f>IF(C366="SALE",G366*IF(F366="CARTON",_xlfn.XLOOKUP(D366,'ITEM MASTER'!$A:$A,'ITEM MASTER'!$H:$H,1),1),0)</f>
        <v>0</v>
      </c>
      <c r="K366">
        <f>SUMIFS($I$2:I366,$D$2:D366,D366)-SUMIFS($J$2:J366,$D$2:D366,D366)</f>
        <v>0</v>
      </c>
    </row>
    <row r="367" spans="5:11" x14ac:dyDescent="0.3">
      <c r="E367">
        <f>IFERROR(_xlfn.XLOOKUP(D367,'ITEM MASTER'!$A:$A,'ITEM MASTER'!$B:$B,""),"")</f>
        <v>0</v>
      </c>
      <c r="F367" t="s">
        <v>44</v>
      </c>
      <c r="H367">
        <f>IFERROR(_xlfn.XLOOKUP(D367,'ITEM MASTER'!$A:$A,'ITEM MASTER'!$I:$I,"")*IF(F367="CARTON",_xlfn.XLOOKUP(D367,'ITEM MASTER'!$A:$A,'ITEM MASTER'!$H:$H,1),1),"")</f>
        <v>0</v>
      </c>
      <c r="I367">
        <f>IF(OR(C367="PURCHASE",C367="OPENING"),G367*IF(F367="CARTON",_xlfn.XLOOKUP(D367,'ITEM MASTER'!$A:$A,'ITEM MASTER'!$H:$H,1),1),0)</f>
        <v>0</v>
      </c>
      <c r="J367">
        <f>IF(C367="SALE",G367*IF(F367="CARTON",_xlfn.XLOOKUP(D367,'ITEM MASTER'!$A:$A,'ITEM MASTER'!$H:$H,1),1),0)</f>
        <v>0</v>
      </c>
      <c r="K367">
        <f>SUMIFS($I$2:I367,$D$2:D367,D367)-SUMIFS($J$2:J367,$D$2:D367,D367)</f>
        <v>0</v>
      </c>
    </row>
    <row r="368" spans="5:11" x14ac:dyDescent="0.3">
      <c r="E368">
        <f>IFERROR(_xlfn.XLOOKUP(D368,'ITEM MASTER'!$A:$A,'ITEM MASTER'!$B:$B,""),"")</f>
        <v>0</v>
      </c>
      <c r="F368" t="s">
        <v>44</v>
      </c>
      <c r="H368">
        <f>IFERROR(_xlfn.XLOOKUP(D368,'ITEM MASTER'!$A:$A,'ITEM MASTER'!$I:$I,"")*IF(F368="CARTON",_xlfn.XLOOKUP(D368,'ITEM MASTER'!$A:$A,'ITEM MASTER'!$H:$H,1),1),"")</f>
        <v>0</v>
      </c>
      <c r="I368">
        <f>IF(OR(C368="PURCHASE",C368="OPENING"),G368*IF(F368="CARTON",_xlfn.XLOOKUP(D368,'ITEM MASTER'!$A:$A,'ITEM MASTER'!$H:$H,1),1),0)</f>
        <v>0</v>
      </c>
      <c r="J368">
        <f>IF(C368="SALE",G368*IF(F368="CARTON",_xlfn.XLOOKUP(D368,'ITEM MASTER'!$A:$A,'ITEM MASTER'!$H:$H,1),1),0)</f>
        <v>0</v>
      </c>
      <c r="K368">
        <f>SUMIFS($I$2:I368,$D$2:D368,D368)-SUMIFS($J$2:J368,$D$2:D368,D368)</f>
        <v>0</v>
      </c>
    </row>
    <row r="369" spans="5:11" x14ac:dyDescent="0.3">
      <c r="E369">
        <f>IFERROR(_xlfn.XLOOKUP(D369,'ITEM MASTER'!$A:$A,'ITEM MASTER'!$B:$B,""),"")</f>
        <v>0</v>
      </c>
      <c r="F369" t="s">
        <v>44</v>
      </c>
      <c r="H369">
        <f>IFERROR(_xlfn.XLOOKUP(D369,'ITEM MASTER'!$A:$A,'ITEM MASTER'!$I:$I,"")*IF(F369="CARTON",_xlfn.XLOOKUP(D369,'ITEM MASTER'!$A:$A,'ITEM MASTER'!$H:$H,1),1),"")</f>
        <v>0</v>
      </c>
      <c r="I369">
        <f>IF(OR(C369="PURCHASE",C369="OPENING"),G369*IF(F369="CARTON",_xlfn.XLOOKUP(D369,'ITEM MASTER'!$A:$A,'ITEM MASTER'!$H:$H,1),1),0)</f>
        <v>0</v>
      </c>
      <c r="J369">
        <f>IF(C369="SALE",G369*IF(F369="CARTON",_xlfn.XLOOKUP(D369,'ITEM MASTER'!$A:$A,'ITEM MASTER'!$H:$H,1),1),0)</f>
        <v>0</v>
      </c>
      <c r="K369">
        <f>SUMIFS($I$2:I369,$D$2:D369,D369)-SUMIFS($J$2:J369,$D$2:D369,D369)</f>
        <v>0</v>
      </c>
    </row>
    <row r="370" spans="5:11" x14ac:dyDescent="0.3">
      <c r="E370">
        <f>IFERROR(_xlfn.XLOOKUP(D370,'ITEM MASTER'!$A:$A,'ITEM MASTER'!$B:$B,""),"")</f>
        <v>0</v>
      </c>
      <c r="F370" t="s">
        <v>44</v>
      </c>
      <c r="H370">
        <f>IFERROR(_xlfn.XLOOKUP(D370,'ITEM MASTER'!$A:$A,'ITEM MASTER'!$I:$I,"")*IF(F370="CARTON",_xlfn.XLOOKUP(D370,'ITEM MASTER'!$A:$A,'ITEM MASTER'!$H:$H,1),1),"")</f>
        <v>0</v>
      </c>
      <c r="I370">
        <f>IF(OR(C370="PURCHASE",C370="OPENING"),G370*IF(F370="CARTON",_xlfn.XLOOKUP(D370,'ITEM MASTER'!$A:$A,'ITEM MASTER'!$H:$H,1),1),0)</f>
        <v>0</v>
      </c>
      <c r="J370">
        <f>IF(C370="SALE",G370*IF(F370="CARTON",_xlfn.XLOOKUP(D370,'ITEM MASTER'!$A:$A,'ITEM MASTER'!$H:$H,1),1),0)</f>
        <v>0</v>
      </c>
      <c r="K370">
        <f>SUMIFS($I$2:I370,$D$2:D370,D370)-SUMIFS($J$2:J370,$D$2:D370,D370)</f>
        <v>0</v>
      </c>
    </row>
    <row r="371" spans="5:11" x14ac:dyDescent="0.3">
      <c r="E371">
        <f>IFERROR(_xlfn.XLOOKUP(D371,'ITEM MASTER'!$A:$A,'ITEM MASTER'!$B:$B,""),"")</f>
        <v>0</v>
      </c>
      <c r="F371" t="s">
        <v>44</v>
      </c>
      <c r="H371">
        <f>IFERROR(_xlfn.XLOOKUP(D371,'ITEM MASTER'!$A:$A,'ITEM MASTER'!$I:$I,"")*IF(F371="CARTON",_xlfn.XLOOKUP(D371,'ITEM MASTER'!$A:$A,'ITEM MASTER'!$H:$H,1),1),"")</f>
        <v>0</v>
      </c>
      <c r="I371">
        <f>IF(OR(C371="PURCHASE",C371="OPENING"),G371*IF(F371="CARTON",_xlfn.XLOOKUP(D371,'ITEM MASTER'!$A:$A,'ITEM MASTER'!$H:$H,1),1),0)</f>
        <v>0</v>
      </c>
      <c r="J371">
        <f>IF(C371="SALE",G371*IF(F371="CARTON",_xlfn.XLOOKUP(D371,'ITEM MASTER'!$A:$A,'ITEM MASTER'!$H:$H,1),1),0)</f>
        <v>0</v>
      </c>
      <c r="K371">
        <f>SUMIFS($I$2:I371,$D$2:D371,D371)-SUMIFS($J$2:J371,$D$2:D371,D371)</f>
        <v>0</v>
      </c>
    </row>
    <row r="372" spans="5:11" x14ac:dyDescent="0.3">
      <c r="E372">
        <f>IFERROR(_xlfn.XLOOKUP(D372,'ITEM MASTER'!$A:$A,'ITEM MASTER'!$B:$B,""),"")</f>
        <v>0</v>
      </c>
      <c r="F372" t="s">
        <v>44</v>
      </c>
      <c r="H372">
        <f>IFERROR(_xlfn.XLOOKUP(D372,'ITEM MASTER'!$A:$A,'ITEM MASTER'!$I:$I,"")*IF(F372="CARTON",_xlfn.XLOOKUP(D372,'ITEM MASTER'!$A:$A,'ITEM MASTER'!$H:$H,1),1),"")</f>
        <v>0</v>
      </c>
      <c r="I372">
        <f>IF(OR(C372="PURCHASE",C372="OPENING"),G372*IF(F372="CARTON",_xlfn.XLOOKUP(D372,'ITEM MASTER'!$A:$A,'ITEM MASTER'!$H:$H,1),1),0)</f>
        <v>0</v>
      </c>
      <c r="J372">
        <f>IF(C372="SALE",G372*IF(F372="CARTON",_xlfn.XLOOKUP(D372,'ITEM MASTER'!$A:$A,'ITEM MASTER'!$H:$H,1),1),0)</f>
        <v>0</v>
      </c>
      <c r="K372">
        <f>SUMIFS($I$2:I372,$D$2:D372,D372)-SUMIFS($J$2:J372,$D$2:D372,D372)</f>
        <v>0</v>
      </c>
    </row>
    <row r="373" spans="5:11" x14ac:dyDescent="0.3">
      <c r="E373">
        <f>IFERROR(_xlfn.XLOOKUP(D373,'ITEM MASTER'!$A:$A,'ITEM MASTER'!$B:$B,""),"")</f>
        <v>0</v>
      </c>
      <c r="F373" t="s">
        <v>44</v>
      </c>
      <c r="H373">
        <f>IFERROR(_xlfn.XLOOKUP(D373,'ITEM MASTER'!$A:$A,'ITEM MASTER'!$I:$I,"")*IF(F373="CARTON",_xlfn.XLOOKUP(D373,'ITEM MASTER'!$A:$A,'ITEM MASTER'!$H:$H,1),1),"")</f>
        <v>0</v>
      </c>
      <c r="I373">
        <f>IF(OR(C373="PURCHASE",C373="OPENING"),G373*IF(F373="CARTON",_xlfn.XLOOKUP(D373,'ITEM MASTER'!$A:$A,'ITEM MASTER'!$H:$H,1),1),0)</f>
        <v>0</v>
      </c>
      <c r="J373">
        <f>IF(C373="SALE",G373*IF(F373="CARTON",_xlfn.XLOOKUP(D373,'ITEM MASTER'!$A:$A,'ITEM MASTER'!$H:$H,1),1),0)</f>
        <v>0</v>
      </c>
      <c r="K373">
        <f>SUMIFS($I$2:I373,$D$2:D373,D373)-SUMIFS($J$2:J373,$D$2:D373,D373)</f>
        <v>0</v>
      </c>
    </row>
    <row r="374" spans="5:11" x14ac:dyDescent="0.3">
      <c r="E374">
        <f>IFERROR(_xlfn.XLOOKUP(D374,'ITEM MASTER'!$A:$A,'ITEM MASTER'!$B:$B,""),"")</f>
        <v>0</v>
      </c>
      <c r="F374" t="s">
        <v>44</v>
      </c>
      <c r="H374">
        <f>IFERROR(_xlfn.XLOOKUP(D374,'ITEM MASTER'!$A:$A,'ITEM MASTER'!$I:$I,"")*IF(F374="CARTON",_xlfn.XLOOKUP(D374,'ITEM MASTER'!$A:$A,'ITEM MASTER'!$H:$H,1),1),"")</f>
        <v>0</v>
      </c>
      <c r="I374">
        <f>IF(OR(C374="PURCHASE",C374="OPENING"),G374*IF(F374="CARTON",_xlfn.XLOOKUP(D374,'ITEM MASTER'!$A:$A,'ITEM MASTER'!$H:$H,1),1),0)</f>
        <v>0</v>
      </c>
      <c r="J374">
        <f>IF(C374="SALE",G374*IF(F374="CARTON",_xlfn.XLOOKUP(D374,'ITEM MASTER'!$A:$A,'ITEM MASTER'!$H:$H,1),1),0)</f>
        <v>0</v>
      </c>
      <c r="K374">
        <f>SUMIFS($I$2:I374,$D$2:D374,D374)-SUMIFS($J$2:J374,$D$2:D374,D374)</f>
        <v>0</v>
      </c>
    </row>
    <row r="375" spans="5:11" x14ac:dyDescent="0.3">
      <c r="E375">
        <f>IFERROR(_xlfn.XLOOKUP(D375,'ITEM MASTER'!$A:$A,'ITEM MASTER'!$B:$B,""),"")</f>
        <v>0</v>
      </c>
      <c r="F375" t="s">
        <v>44</v>
      </c>
      <c r="H375">
        <f>IFERROR(_xlfn.XLOOKUP(D375,'ITEM MASTER'!$A:$A,'ITEM MASTER'!$I:$I,"")*IF(F375="CARTON",_xlfn.XLOOKUP(D375,'ITEM MASTER'!$A:$A,'ITEM MASTER'!$H:$H,1),1),"")</f>
        <v>0</v>
      </c>
      <c r="I375">
        <f>IF(OR(C375="PURCHASE",C375="OPENING"),G375*IF(F375="CARTON",_xlfn.XLOOKUP(D375,'ITEM MASTER'!$A:$A,'ITEM MASTER'!$H:$H,1),1),0)</f>
        <v>0</v>
      </c>
      <c r="J375">
        <f>IF(C375="SALE",G375*IF(F375="CARTON",_xlfn.XLOOKUP(D375,'ITEM MASTER'!$A:$A,'ITEM MASTER'!$H:$H,1),1),0)</f>
        <v>0</v>
      </c>
      <c r="K375">
        <f>SUMIFS($I$2:I375,$D$2:D375,D375)-SUMIFS($J$2:J375,$D$2:D375,D375)</f>
        <v>0</v>
      </c>
    </row>
    <row r="376" spans="5:11" x14ac:dyDescent="0.3">
      <c r="E376">
        <f>IFERROR(_xlfn.XLOOKUP(D376,'ITEM MASTER'!$A:$A,'ITEM MASTER'!$B:$B,""),"")</f>
        <v>0</v>
      </c>
      <c r="F376" t="s">
        <v>44</v>
      </c>
      <c r="H376">
        <f>IFERROR(_xlfn.XLOOKUP(D376,'ITEM MASTER'!$A:$A,'ITEM MASTER'!$I:$I,"")*IF(F376="CARTON",_xlfn.XLOOKUP(D376,'ITEM MASTER'!$A:$A,'ITEM MASTER'!$H:$H,1),1),"")</f>
        <v>0</v>
      </c>
      <c r="I376">
        <f>IF(OR(C376="PURCHASE",C376="OPENING"),G376*IF(F376="CARTON",_xlfn.XLOOKUP(D376,'ITEM MASTER'!$A:$A,'ITEM MASTER'!$H:$H,1),1),0)</f>
        <v>0</v>
      </c>
      <c r="J376">
        <f>IF(C376="SALE",G376*IF(F376="CARTON",_xlfn.XLOOKUP(D376,'ITEM MASTER'!$A:$A,'ITEM MASTER'!$H:$H,1),1),0)</f>
        <v>0</v>
      </c>
      <c r="K376">
        <f>SUMIFS($I$2:I376,$D$2:D376,D376)-SUMIFS($J$2:J376,$D$2:D376,D376)</f>
        <v>0</v>
      </c>
    </row>
    <row r="377" spans="5:11" x14ac:dyDescent="0.3">
      <c r="E377">
        <f>IFERROR(_xlfn.XLOOKUP(D377,'ITEM MASTER'!$A:$A,'ITEM MASTER'!$B:$B,""),"")</f>
        <v>0</v>
      </c>
      <c r="F377" t="s">
        <v>44</v>
      </c>
      <c r="H377">
        <f>IFERROR(_xlfn.XLOOKUP(D377,'ITEM MASTER'!$A:$A,'ITEM MASTER'!$I:$I,"")*IF(F377="CARTON",_xlfn.XLOOKUP(D377,'ITEM MASTER'!$A:$A,'ITEM MASTER'!$H:$H,1),1),"")</f>
        <v>0</v>
      </c>
      <c r="I377">
        <f>IF(OR(C377="PURCHASE",C377="OPENING"),G377*IF(F377="CARTON",_xlfn.XLOOKUP(D377,'ITEM MASTER'!$A:$A,'ITEM MASTER'!$H:$H,1),1),0)</f>
        <v>0</v>
      </c>
      <c r="J377">
        <f>IF(C377="SALE",G377*IF(F377="CARTON",_xlfn.XLOOKUP(D377,'ITEM MASTER'!$A:$A,'ITEM MASTER'!$H:$H,1),1),0)</f>
        <v>0</v>
      </c>
      <c r="K377">
        <f>SUMIFS($I$2:I377,$D$2:D377,D377)-SUMIFS($J$2:J377,$D$2:D377,D377)</f>
        <v>0</v>
      </c>
    </row>
    <row r="378" spans="5:11" x14ac:dyDescent="0.3">
      <c r="E378">
        <f>IFERROR(_xlfn.XLOOKUP(D378,'ITEM MASTER'!$A:$A,'ITEM MASTER'!$B:$B,""),"")</f>
        <v>0</v>
      </c>
      <c r="F378" t="s">
        <v>44</v>
      </c>
      <c r="H378">
        <f>IFERROR(_xlfn.XLOOKUP(D378,'ITEM MASTER'!$A:$A,'ITEM MASTER'!$I:$I,"")*IF(F378="CARTON",_xlfn.XLOOKUP(D378,'ITEM MASTER'!$A:$A,'ITEM MASTER'!$H:$H,1),1),"")</f>
        <v>0</v>
      </c>
      <c r="I378">
        <f>IF(OR(C378="PURCHASE",C378="OPENING"),G378*IF(F378="CARTON",_xlfn.XLOOKUP(D378,'ITEM MASTER'!$A:$A,'ITEM MASTER'!$H:$H,1),1),0)</f>
        <v>0</v>
      </c>
      <c r="J378">
        <f>IF(C378="SALE",G378*IF(F378="CARTON",_xlfn.XLOOKUP(D378,'ITEM MASTER'!$A:$A,'ITEM MASTER'!$H:$H,1),1),0)</f>
        <v>0</v>
      </c>
      <c r="K378">
        <f>SUMIFS($I$2:I378,$D$2:D378,D378)-SUMIFS($J$2:J378,$D$2:D378,D378)</f>
        <v>0</v>
      </c>
    </row>
    <row r="379" spans="5:11" x14ac:dyDescent="0.3">
      <c r="E379">
        <f>IFERROR(_xlfn.XLOOKUP(D379,'ITEM MASTER'!$A:$A,'ITEM MASTER'!$B:$B,""),"")</f>
        <v>0</v>
      </c>
      <c r="F379" t="s">
        <v>44</v>
      </c>
      <c r="H379">
        <f>IFERROR(_xlfn.XLOOKUP(D379,'ITEM MASTER'!$A:$A,'ITEM MASTER'!$I:$I,"")*IF(F379="CARTON",_xlfn.XLOOKUP(D379,'ITEM MASTER'!$A:$A,'ITEM MASTER'!$H:$H,1),1),"")</f>
        <v>0</v>
      </c>
      <c r="I379">
        <f>IF(OR(C379="PURCHASE",C379="OPENING"),G379*IF(F379="CARTON",_xlfn.XLOOKUP(D379,'ITEM MASTER'!$A:$A,'ITEM MASTER'!$H:$H,1),1),0)</f>
        <v>0</v>
      </c>
      <c r="J379">
        <f>IF(C379="SALE",G379*IF(F379="CARTON",_xlfn.XLOOKUP(D379,'ITEM MASTER'!$A:$A,'ITEM MASTER'!$H:$H,1),1),0)</f>
        <v>0</v>
      </c>
      <c r="K379">
        <f>SUMIFS($I$2:I379,$D$2:D379,D379)-SUMIFS($J$2:J379,$D$2:D379,D379)</f>
        <v>0</v>
      </c>
    </row>
    <row r="380" spans="5:11" x14ac:dyDescent="0.3">
      <c r="E380">
        <f>IFERROR(_xlfn.XLOOKUP(D380,'ITEM MASTER'!$A:$A,'ITEM MASTER'!$B:$B,""),"")</f>
        <v>0</v>
      </c>
      <c r="F380" t="s">
        <v>44</v>
      </c>
      <c r="H380">
        <f>IFERROR(_xlfn.XLOOKUP(D380,'ITEM MASTER'!$A:$A,'ITEM MASTER'!$I:$I,"")*IF(F380="CARTON",_xlfn.XLOOKUP(D380,'ITEM MASTER'!$A:$A,'ITEM MASTER'!$H:$H,1),1),"")</f>
        <v>0</v>
      </c>
      <c r="I380">
        <f>IF(OR(C380="PURCHASE",C380="OPENING"),G380*IF(F380="CARTON",_xlfn.XLOOKUP(D380,'ITEM MASTER'!$A:$A,'ITEM MASTER'!$H:$H,1),1),0)</f>
        <v>0</v>
      </c>
      <c r="J380">
        <f>IF(C380="SALE",G380*IF(F380="CARTON",_xlfn.XLOOKUP(D380,'ITEM MASTER'!$A:$A,'ITEM MASTER'!$H:$H,1),1),0)</f>
        <v>0</v>
      </c>
      <c r="K380">
        <f>SUMIFS($I$2:I380,$D$2:D380,D380)-SUMIFS($J$2:J380,$D$2:D380,D380)</f>
        <v>0</v>
      </c>
    </row>
    <row r="381" spans="5:11" x14ac:dyDescent="0.3">
      <c r="E381">
        <f>IFERROR(_xlfn.XLOOKUP(D381,'ITEM MASTER'!$A:$A,'ITEM MASTER'!$B:$B,""),"")</f>
        <v>0</v>
      </c>
      <c r="F381" t="s">
        <v>44</v>
      </c>
      <c r="H381">
        <f>IFERROR(_xlfn.XLOOKUP(D381,'ITEM MASTER'!$A:$A,'ITEM MASTER'!$I:$I,"")*IF(F381="CARTON",_xlfn.XLOOKUP(D381,'ITEM MASTER'!$A:$A,'ITEM MASTER'!$H:$H,1),1),"")</f>
        <v>0</v>
      </c>
      <c r="I381">
        <f>IF(OR(C381="PURCHASE",C381="OPENING"),G381*IF(F381="CARTON",_xlfn.XLOOKUP(D381,'ITEM MASTER'!$A:$A,'ITEM MASTER'!$H:$H,1),1),0)</f>
        <v>0</v>
      </c>
      <c r="J381">
        <f>IF(C381="SALE",G381*IF(F381="CARTON",_xlfn.XLOOKUP(D381,'ITEM MASTER'!$A:$A,'ITEM MASTER'!$H:$H,1),1),0)</f>
        <v>0</v>
      </c>
      <c r="K381">
        <f>SUMIFS($I$2:I381,$D$2:D381,D381)-SUMIFS($J$2:J381,$D$2:D381,D381)</f>
        <v>0</v>
      </c>
    </row>
    <row r="382" spans="5:11" x14ac:dyDescent="0.3">
      <c r="E382">
        <f>IFERROR(_xlfn.XLOOKUP(D382,'ITEM MASTER'!$A:$A,'ITEM MASTER'!$B:$B,""),"")</f>
        <v>0</v>
      </c>
      <c r="F382" t="s">
        <v>44</v>
      </c>
      <c r="H382">
        <f>IFERROR(_xlfn.XLOOKUP(D382,'ITEM MASTER'!$A:$A,'ITEM MASTER'!$I:$I,"")*IF(F382="CARTON",_xlfn.XLOOKUP(D382,'ITEM MASTER'!$A:$A,'ITEM MASTER'!$H:$H,1),1),"")</f>
        <v>0</v>
      </c>
      <c r="I382">
        <f>IF(OR(C382="PURCHASE",C382="OPENING"),G382*IF(F382="CARTON",_xlfn.XLOOKUP(D382,'ITEM MASTER'!$A:$A,'ITEM MASTER'!$H:$H,1),1),0)</f>
        <v>0</v>
      </c>
      <c r="J382">
        <f>IF(C382="SALE",G382*IF(F382="CARTON",_xlfn.XLOOKUP(D382,'ITEM MASTER'!$A:$A,'ITEM MASTER'!$H:$H,1),1),0)</f>
        <v>0</v>
      </c>
      <c r="K382">
        <f>SUMIFS($I$2:I382,$D$2:D382,D382)-SUMIFS($J$2:J382,$D$2:D382,D382)</f>
        <v>0</v>
      </c>
    </row>
    <row r="383" spans="5:11" x14ac:dyDescent="0.3">
      <c r="E383">
        <f>IFERROR(_xlfn.XLOOKUP(D383,'ITEM MASTER'!$A:$A,'ITEM MASTER'!$B:$B,""),"")</f>
        <v>0</v>
      </c>
      <c r="F383" t="s">
        <v>44</v>
      </c>
      <c r="H383">
        <f>IFERROR(_xlfn.XLOOKUP(D383,'ITEM MASTER'!$A:$A,'ITEM MASTER'!$I:$I,"")*IF(F383="CARTON",_xlfn.XLOOKUP(D383,'ITEM MASTER'!$A:$A,'ITEM MASTER'!$H:$H,1),1),"")</f>
        <v>0</v>
      </c>
      <c r="I383">
        <f>IF(OR(C383="PURCHASE",C383="OPENING"),G383*IF(F383="CARTON",_xlfn.XLOOKUP(D383,'ITEM MASTER'!$A:$A,'ITEM MASTER'!$H:$H,1),1),0)</f>
        <v>0</v>
      </c>
      <c r="J383">
        <f>IF(C383="SALE",G383*IF(F383="CARTON",_xlfn.XLOOKUP(D383,'ITEM MASTER'!$A:$A,'ITEM MASTER'!$H:$H,1),1),0)</f>
        <v>0</v>
      </c>
      <c r="K383">
        <f>SUMIFS($I$2:I383,$D$2:D383,D383)-SUMIFS($J$2:J383,$D$2:D383,D383)</f>
        <v>0</v>
      </c>
    </row>
    <row r="384" spans="5:11" x14ac:dyDescent="0.3">
      <c r="E384">
        <f>IFERROR(_xlfn.XLOOKUP(D384,'ITEM MASTER'!$A:$A,'ITEM MASTER'!$B:$B,""),"")</f>
        <v>0</v>
      </c>
      <c r="F384" t="s">
        <v>44</v>
      </c>
      <c r="H384">
        <f>IFERROR(_xlfn.XLOOKUP(D384,'ITEM MASTER'!$A:$A,'ITEM MASTER'!$I:$I,"")*IF(F384="CARTON",_xlfn.XLOOKUP(D384,'ITEM MASTER'!$A:$A,'ITEM MASTER'!$H:$H,1),1),"")</f>
        <v>0</v>
      </c>
      <c r="I384">
        <f>IF(OR(C384="PURCHASE",C384="OPENING"),G384*IF(F384="CARTON",_xlfn.XLOOKUP(D384,'ITEM MASTER'!$A:$A,'ITEM MASTER'!$H:$H,1),1),0)</f>
        <v>0</v>
      </c>
      <c r="J384">
        <f>IF(C384="SALE",G384*IF(F384="CARTON",_xlfn.XLOOKUP(D384,'ITEM MASTER'!$A:$A,'ITEM MASTER'!$H:$H,1),1),0)</f>
        <v>0</v>
      </c>
      <c r="K384">
        <f>SUMIFS($I$2:I384,$D$2:D384,D384)-SUMIFS($J$2:J384,$D$2:D384,D384)</f>
        <v>0</v>
      </c>
    </row>
    <row r="385" spans="5:11" x14ac:dyDescent="0.3">
      <c r="E385">
        <f>IFERROR(_xlfn.XLOOKUP(D385,'ITEM MASTER'!$A:$A,'ITEM MASTER'!$B:$B,""),"")</f>
        <v>0</v>
      </c>
      <c r="F385" t="s">
        <v>44</v>
      </c>
      <c r="H385">
        <f>IFERROR(_xlfn.XLOOKUP(D385,'ITEM MASTER'!$A:$A,'ITEM MASTER'!$I:$I,"")*IF(F385="CARTON",_xlfn.XLOOKUP(D385,'ITEM MASTER'!$A:$A,'ITEM MASTER'!$H:$H,1),1),"")</f>
        <v>0</v>
      </c>
      <c r="I385">
        <f>IF(OR(C385="PURCHASE",C385="OPENING"),G385*IF(F385="CARTON",_xlfn.XLOOKUP(D385,'ITEM MASTER'!$A:$A,'ITEM MASTER'!$H:$H,1),1),0)</f>
        <v>0</v>
      </c>
      <c r="J385">
        <f>IF(C385="SALE",G385*IF(F385="CARTON",_xlfn.XLOOKUP(D385,'ITEM MASTER'!$A:$A,'ITEM MASTER'!$H:$H,1),1),0)</f>
        <v>0</v>
      </c>
      <c r="K385">
        <f>SUMIFS($I$2:I385,$D$2:D385,D385)-SUMIFS($J$2:J385,$D$2:D385,D385)</f>
        <v>0</v>
      </c>
    </row>
    <row r="386" spans="5:11" x14ac:dyDescent="0.3">
      <c r="E386">
        <f>IFERROR(_xlfn.XLOOKUP(D386,'ITEM MASTER'!$A:$A,'ITEM MASTER'!$B:$B,""),"")</f>
        <v>0</v>
      </c>
      <c r="F386" t="s">
        <v>44</v>
      </c>
      <c r="H386">
        <f>IFERROR(_xlfn.XLOOKUP(D386,'ITEM MASTER'!$A:$A,'ITEM MASTER'!$I:$I,"")*IF(F386="CARTON",_xlfn.XLOOKUP(D386,'ITEM MASTER'!$A:$A,'ITEM MASTER'!$H:$H,1),1),"")</f>
        <v>0</v>
      </c>
      <c r="I386">
        <f>IF(OR(C386="PURCHASE",C386="OPENING"),G386*IF(F386="CARTON",_xlfn.XLOOKUP(D386,'ITEM MASTER'!$A:$A,'ITEM MASTER'!$H:$H,1),1),0)</f>
        <v>0</v>
      </c>
      <c r="J386">
        <f>IF(C386="SALE",G386*IF(F386="CARTON",_xlfn.XLOOKUP(D386,'ITEM MASTER'!$A:$A,'ITEM MASTER'!$H:$H,1),1),0)</f>
        <v>0</v>
      </c>
      <c r="K386">
        <f>SUMIFS($I$2:I386,$D$2:D386,D386)-SUMIFS($J$2:J386,$D$2:D386,D386)</f>
        <v>0</v>
      </c>
    </row>
    <row r="387" spans="5:11" x14ac:dyDescent="0.3">
      <c r="E387">
        <f>IFERROR(_xlfn.XLOOKUP(D387,'ITEM MASTER'!$A:$A,'ITEM MASTER'!$B:$B,""),"")</f>
        <v>0</v>
      </c>
      <c r="F387" t="s">
        <v>44</v>
      </c>
      <c r="H387">
        <f>IFERROR(_xlfn.XLOOKUP(D387,'ITEM MASTER'!$A:$A,'ITEM MASTER'!$I:$I,"")*IF(F387="CARTON",_xlfn.XLOOKUP(D387,'ITEM MASTER'!$A:$A,'ITEM MASTER'!$H:$H,1),1),"")</f>
        <v>0</v>
      </c>
      <c r="I387">
        <f>IF(OR(C387="PURCHASE",C387="OPENING"),G387*IF(F387="CARTON",_xlfn.XLOOKUP(D387,'ITEM MASTER'!$A:$A,'ITEM MASTER'!$H:$H,1),1),0)</f>
        <v>0</v>
      </c>
      <c r="J387">
        <f>IF(C387="SALE",G387*IF(F387="CARTON",_xlfn.XLOOKUP(D387,'ITEM MASTER'!$A:$A,'ITEM MASTER'!$H:$H,1),1),0)</f>
        <v>0</v>
      </c>
      <c r="K387">
        <f>SUMIFS($I$2:I387,$D$2:D387,D387)-SUMIFS($J$2:J387,$D$2:D387,D387)</f>
        <v>0</v>
      </c>
    </row>
    <row r="388" spans="5:11" x14ac:dyDescent="0.3">
      <c r="E388">
        <f>IFERROR(_xlfn.XLOOKUP(D388,'ITEM MASTER'!$A:$A,'ITEM MASTER'!$B:$B,""),"")</f>
        <v>0</v>
      </c>
      <c r="F388" t="s">
        <v>44</v>
      </c>
      <c r="H388">
        <f>IFERROR(_xlfn.XLOOKUP(D388,'ITEM MASTER'!$A:$A,'ITEM MASTER'!$I:$I,"")*IF(F388="CARTON",_xlfn.XLOOKUP(D388,'ITEM MASTER'!$A:$A,'ITEM MASTER'!$H:$H,1),1),"")</f>
        <v>0</v>
      </c>
      <c r="I388">
        <f>IF(OR(C388="PURCHASE",C388="OPENING"),G388*IF(F388="CARTON",_xlfn.XLOOKUP(D388,'ITEM MASTER'!$A:$A,'ITEM MASTER'!$H:$H,1),1),0)</f>
        <v>0</v>
      </c>
      <c r="J388">
        <f>IF(C388="SALE",G388*IF(F388="CARTON",_xlfn.XLOOKUP(D388,'ITEM MASTER'!$A:$A,'ITEM MASTER'!$H:$H,1),1),0)</f>
        <v>0</v>
      </c>
      <c r="K388">
        <f>SUMIFS($I$2:I388,$D$2:D388,D388)-SUMIFS($J$2:J388,$D$2:D388,D388)</f>
        <v>0</v>
      </c>
    </row>
    <row r="389" spans="5:11" x14ac:dyDescent="0.3">
      <c r="E389">
        <f>IFERROR(_xlfn.XLOOKUP(D389,'ITEM MASTER'!$A:$A,'ITEM MASTER'!$B:$B,""),"")</f>
        <v>0</v>
      </c>
      <c r="F389" t="s">
        <v>44</v>
      </c>
      <c r="H389">
        <f>IFERROR(_xlfn.XLOOKUP(D389,'ITEM MASTER'!$A:$A,'ITEM MASTER'!$I:$I,"")*IF(F389="CARTON",_xlfn.XLOOKUP(D389,'ITEM MASTER'!$A:$A,'ITEM MASTER'!$H:$H,1),1),"")</f>
        <v>0</v>
      </c>
      <c r="I389">
        <f>IF(OR(C389="PURCHASE",C389="OPENING"),G389*IF(F389="CARTON",_xlfn.XLOOKUP(D389,'ITEM MASTER'!$A:$A,'ITEM MASTER'!$H:$H,1),1),0)</f>
        <v>0</v>
      </c>
      <c r="J389">
        <f>IF(C389="SALE",G389*IF(F389="CARTON",_xlfn.XLOOKUP(D389,'ITEM MASTER'!$A:$A,'ITEM MASTER'!$H:$H,1),1),0)</f>
        <v>0</v>
      </c>
      <c r="K389">
        <f>SUMIFS($I$2:I389,$D$2:D389,D389)-SUMIFS($J$2:J389,$D$2:D389,D389)</f>
        <v>0</v>
      </c>
    </row>
    <row r="390" spans="5:11" x14ac:dyDescent="0.3">
      <c r="E390">
        <f>IFERROR(_xlfn.XLOOKUP(D390,'ITEM MASTER'!$A:$A,'ITEM MASTER'!$B:$B,""),"")</f>
        <v>0</v>
      </c>
      <c r="F390" t="s">
        <v>44</v>
      </c>
      <c r="H390">
        <f>IFERROR(_xlfn.XLOOKUP(D390,'ITEM MASTER'!$A:$A,'ITEM MASTER'!$I:$I,"")*IF(F390="CARTON",_xlfn.XLOOKUP(D390,'ITEM MASTER'!$A:$A,'ITEM MASTER'!$H:$H,1),1),"")</f>
        <v>0</v>
      </c>
      <c r="I390">
        <f>IF(OR(C390="PURCHASE",C390="OPENING"),G390*IF(F390="CARTON",_xlfn.XLOOKUP(D390,'ITEM MASTER'!$A:$A,'ITEM MASTER'!$H:$H,1),1),0)</f>
        <v>0</v>
      </c>
      <c r="J390">
        <f>IF(C390="SALE",G390*IF(F390="CARTON",_xlfn.XLOOKUP(D390,'ITEM MASTER'!$A:$A,'ITEM MASTER'!$H:$H,1),1),0)</f>
        <v>0</v>
      </c>
      <c r="K390">
        <f>SUMIFS($I$2:I390,$D$2:D390,D390)-SUMIFS($J$2:J390,$D$2:D390,D390)</f>
        <v>0</v>
      </c>
    </row>
    <row r="391" spans="5:11" x14ac:dyDescent="0.3">
      <c r="E391">
        <f>IFERROR(_xlfn.XLOOKUP(D391,'ITEM MASTER'!$A:$A,'ITEM MASTER'!$B:$B,""),"")</f>
        <v>0</v>
      </c>
      <c r="F391" t="s">
        <v>44</v>
      </c>
      <c r="H391">
        <f>IFERROR(_xlfn.XLOOKUP(D391,'ITEM MASTER'!$A:$A,'ITEM MASTER'!$I:$I,"")*IF(F391="CARTON",_xlfn.XLOOKUP(D391,'ITEM MASTER'!$A:$A,'ITEM MASTER'!$H:$H,1),1),"")</f>
        <v>0</v>
      </c>
      <c r="I391">
        <f>IF(OR(C391="PURCHASE",C391="OPENING"),G391*IF(F391="CARTON",_xlfn.XLOOKUP(D391,'ITEM MASTER'!$A:$A,'ITEM MASTER'!$H:$H,1),1),0)</f>
        <v>0</v>
      </c>
      <c r="J391">
        <f>IF(C391="SALE",G391*IF(F391="CARTON",_xlfn.XLOOKUP(D391,'ITEM MASTER'!$A:$A,'ITEM MASTER'!$H:$H,1),1),0)</f>
        <v>0</v>
      </c>
      <c r="K391">
        <f>SUMIFS($I$2:I391,$D$2:D391,D391)-SUMIFS($J$2:J391,$D$2:D391,D391)</f>
        <v>0</v>
      </c>
    </row>
    <row r="392" spans="5:11" x14ac:dyDescent="0.3">
      <c r="E392">
        <f>IFERROR(_xlfn.XLOOKUP(D392,'ITEM MASTER'!$A:$A,'ITEM MASTER'!$B:$B,""),"")</f>
        <v>0</v>
      </c>
      <c r="F392" t="s">
        <v>44</v>
      </c>
      <c r="H392">
        <f>IFERROR(_xlfn.XLOOKUP(D392,'ITEM MASTER'!$A:$A,'ITEM MASTER'!$I:$I,"")*IF(F392="CARTON",_xlfn.XLOOKUP(D392,'ITEM MASTER'!$A:$A,'ITEM MASTER'!$H:$H,1),1),"")</f>
        <v>0</v>
      </c>
      <c r="I392">
        <f>IF(OR(C392="PURCHASE",C392="OPENING"),G392*IF(F392="CARTON",_xlfn.XLOOKUP(D392,'ITEM MASTER'!$A:$A,'ITEM MASTER'!$H:$H,1),1),0)</f>
        <v>0</v>
      </c>
      <c r="J392">
        <f>IF(C392="SALE",G392*IF(F392="CARTON",_xlfn.XLOOKUP(D392,'ITEM MASTER'!$A:$A,'ITEM MASTER'!$H:$H,1),1),0)</f>
        <v>0</v>
      </c>
      <c r="K392">
        <f>SUMIFS($I$2:I392,$D$2:D392,D392)-SUMIFS($J$2:J392,$D$2:D392,D392)</f>
        <v>0</v>
      </c>
    </row>
    <row r="393" spans="5:11" x14ac:dyDescent="0.3">
      <c r="E393">
        <f>IFERROR(_xlfn.XLOOKUP(D393,'ITEM MASTER'!$A:$A,'ITEM MASTER'!$B:$B,""),"")</f>
        <v>0</v>
      </c>
      <c r="F393" t="s">
        <v>44</v>
      </c>
      <c r="H393">
        <f>IFERROR(_xlfn.XLOOKUP(D393,'ITEM MASTER'!$A:$A,'ITEM MASTER'!$I:$I,"")*IF(F393="CARTON",_xlfn.XLOOKUP(D393,'ITEM MASTER'!$A:$A,'ITEM MASTER'!$H:$H,1),1),"")</f>
        <v>0</v>
      </c>
      <c r="I393">
        <f>IF(OR(C393="PURCHASE",C393="OPENING"),G393*IF(F393="CARTON",_xlfn.XLOOKUP(D393,'ITEM MASTER'!$A:$A,'ITEM MASTER'!$H:$H,1),1),0)</f>
        <v>0</v>
      </c>
      <c r="J393">
        <f>IF(C393="SALE",G393*IF(F393="CARTON",_xlfn.XLOOKUP(D393,'ITEM MASTER'!$A:$A,'ITEM MASTER'!$H:$H,1),1),0)</f>
        <v>0</v>
      </c>
      <c r="K393">
        <f>SUMIFS($I$2:I393,$D$2:D393,D393)-SUMIFS($J$2:J393,$D$2:D393,D393)</f>
        <v>0</v>
      </c>
    </row>
    <row r="394" spans="5:11" x14ac:dyDescent="0.3">
      <c r="E394">
        <f>IFERROR(_xlfn.XLOOKUP(D394,'ITEM MASTER'!$A:$A,'ITEM MASTER'!$B:$B,""),"")</f>
        <v>0</v>
      </c>
      <c r="F394" t="s">
        <v>44</v>
      </c>
      <c r="H394">
        <f>IFERROR(_xlfn.XLOOKUP(D394,'ITEM MASTER'!$A:$A,'ITEM MASTER'!$I:$I,"")*IF(F394="CARTON",_xlfn.XLOOKUP(D394,'ITEM MASTER'!$A:$A,'ITEM MASTER'!$H:$H,1),1),"")</f>
        <v>0</v>
      </c>
      <c r="I394">
        <f>IF(OR(C394="PURCHASE",C394="OPENING"),G394*IF(F394="CARTON",_xlfn.XLOOKUP(D394,'ITEM MASTER'!$A:$A,'ITEM MASTER'!$H:$H,1),1),0)</f>
        <v>0</v>
      </c>
      <c r="J394">
        <f>IF(C394="SALE",G394*IF(F394="CARTON",_xlfn.XLOOKUP(D394,'ITEM MASTER'!$A:$A,'ITEM MASTER'!$H:$H,1),1),0)</f>
        <v>0</v>
      </c>
      <c r="K394">
        <f>SUMIFS($I$2:I394,$D$2:D394,D394)-SUMIFS($J$2:J394,$D$2:D394,D394)</f>
        <v>0</v>
      </c>
    </row>
    <row r="395" spans="5:11" x14ac:dyDescent="0.3">
      <c r="E395">
        <f>IFERROR(_xlfn.XLOOKUP(D395,'ITEM MASTER'!$A:$A,'ITEM MASTER'!$B:$B,""),"")</f>
        <v>0</v>
      </c>
      <c r="F395" t="s">
        <v>44</v>
      </c>
      <c r="H395">
        <f>IFERROR(_xlfn.XLOOKUP(D395,'ITEM MASTER'!$A:$A,'ITEM MASTER'!$I:$I,"")*IF(F395="CARTON",_xlfn.XLOOKUP(D395,'ITEM MASTER'!$A:$A,'ITEM MASTER'!$H:$H,1),1),"")</f>
        <v>0</v>
      </c>
      <c r="I395">
        <f>IF(OR(C395="PURCHASE",C395="OPENING"),G395*IF(F395="CARTON",_xlfn.XLOOKUP(D395,'ITEM MASTER'!$A:$A,'ITEM MASTER'!$H:$H,1),1),0)</f>
        <v>0</v>
      </c>
      <c r="J395">
        <f>IF(C395="SALE",G395*IF(F395="CARTON",_xlfn.XLOOKUP(D395,'ITEM MASTER'!$A:$A,'ITEM MASTER'!$H:$H,1),1),0)</f>
        <v>0</v>
      </c>
      <c r="K395">
        <f>SUMIFS($I$2:I395,$D$2:D395,D395)-SUMIFS($J$2:J395,$D$2:D395,D395)</f>
        <v>0</v>
      </c>
    </row>
    <row r="396" spans="5:11" x14ac:dyDescent="0.3">
      <c r="E396">
        <f>IFERROR(_xlfn.XLOOKUP(D396,'ITEM MASTER'!$A:$A,'ITEM MASTER'!$B:$B,""),"")</f>
        <v>0</v>
      </c>
      <c r="F396" t="s">
        <v>44</v>
      </c>
      <c r="H396">
        <f>IFERROR(_xlfn.XLOOKUP(D396,'ITEM MASTER'!$A:$A,'ITEM MASTER'!$I:$I,"")*IF(F396="CARTON",_xlfn.XLOOKUP(D396,'ITEM MASTER'!$A:$A,'ITEM MASTER'!$H:$H,1),1),"")</f>
        <v>0</v>
      </c>
      <c r="I396">
        <f>IF(OR(C396="PURCHASE",C396="OPENING"),G396*IF(F396="CARTON",_xlfn.XLOOKUP(D396,'ITEM MASTER'!$A:$A,'ITEM MASTER'!$H:$H,1),1),0)</f>
        <v>0</v>
      </c>
      <c r="J396">
        <f>IF(C396="SALE",G396*IF(F396="CARTON",_xlfn.XLOOKUP(D396,'ITEM MASTER'!$A:$A,'ITEM MASTER'!$H:$H,1),1),0)</f>
        <v>0</v>
      </c>
      <c r="K396">
        <f>SUMIFS($I$2:I396,$D$2:D396,D396)-SUMIFS($J$2:J396,$D$2:D396,D396)</f>
        <v>0</v>
      </c>
    </row>
    <row r="397" spans="5:11" x14ac:dyDescent="0.3">
      <c r="E397">
        <f>IFERROR(_xlfn.XLOOKUP(D397,'ITEM MASTER'!$A:$A,'ITEM MASTER'!$B:$B,""),"")</f>
        <v>0</v>
      </c>
      <c r="F397" t="s">
        <v>44</v>
      </c>
      <c r="H397">
        <f>IFERROR(_xlfn.XLOOKUP(D397,'ITEM MASTER'!$A:$A,'ITEM MASTER'!$I:$I,"")*IF(F397="CARTON",_xlfn.XLOOKUP(D397,'ITEM MASTER'!$A:$A,'ITEM MASTER'!$H:$H,1),1),"")</f>
        <v>0</v>
      </c>
      <c r="I397">
        <f>IF(OR(C397="PURCHASE",C397="OPENING"),G397*IF(F397="CARTON",_xlfn.XLOOKUP(D397,'ITEM MASTER'!$A:$A,'ITEM MASTER'!$H:$H,1),1),0)</f>
        <v>0</v>
      </c>
      <c r="J397">
        <f>IF(C397="SALE",G397*IF(F397="CARTON",_xlfn.XLOOKUP(D397,'ITEM MASTER'!$A:$A,'ITEM MASTER'!$H:$H,1),1),0)</f>
        <v>0</v>
      </c>
      <c r="K397">
        <f>SUMIFS($I$2:I397,$D$2:D397,D397)-SUMIFS($J$2:J397,$D$2:D397,D397)</f>
        <v>0</v>
      </c>
    </row>
    <row r="398" spans="5:11" x14ac:dyDescent="0.3">
      <c r="E398">
        <f>IFERROR(_xlfn.XLOOKUP(D398,'ITEM MASTER'!$A:$A,'ITEM MASTER'!$B:$B,""),"")</f>
        <v>0</v>
      </c>
      <c r="F398" t="s">
        <v>44</v>
      </c>
      <c r="H398">
        <f>IFERROR(_xlfn.XLOOKUP(D398,'ITEM MASTER'!$A:$A,'ITEM MASTER'!$I:$I,"")*IF(F398="CARTON",_xlfn.XLOOKUP(D398,'ITEM MASTER'!$A:$A,'ITEM MASTER'!$H:$H,1),1),"")</f>
        <v>0</v>
      </c>
      <c r="I398">
        <f>IF(OR(C398="PURCHASE",C398="OPENING"),G398*IF(F398="CARTON",_xlfn.XLOOKUP(D398,'ITEM MASTER'!$A:$A,'ITEM MASTER'!$H:$H,1),1),0)</f>
        <v>0</v>
      </c>
      <c r="J398">
        <f>IF(C398="SALE",G398*IF(F398="CARTON",_xlfn.XLOOKUP(D398,'ITEM MASTER'!$A:$A,'ITEM MASTER'!$H:$H,1),1),0)</f>
        <v>0</v>
      </c>
      <c r="K398">
        <f>SUMIFS($I$2:I398,$D$2:D398,D398)-SUMIFS($J$2:J398,$D$2:D398,D398)</f>
        <v>0</v>
      </c>
    </row>
    <row r="399" spans="5:11" x14ac:dyDescent="0.3">
      <c r="E399">
        <f>IFERROR(_xlfn.XLOOKUP(D399,'ITEM MASTER'!$A:$A,'ITEM MASTER'!$B:$B,""),"")</f>
        <v>0</v>
      </c>
      <c r="F399" t="s">
        <v>44</v>
      </c>
      <c r="H399">
        <f>IFERROR(_xlfn.XLOOKUP(D399,'ITEM MASTER'!$A:$A,'ITEM MASTER'!$I:$I,"")*IF(F399="CARTON",_xlfn.XLOOKUP(D399,'ITEM MASTER'!$A:$A,'ITEM MASTER'!$H:$H,1),1),"")</f>
        <v>0</v>
      </c>
      <c r="I399">
        <f>IF(OR(C399="PURCHASE",C399="OPENING"),G399*IF(F399="CARTON",_xlfn.XLOOKUP(D399,'ITEM MASTER'!$A:$A,'ITEM MASTER'!$H:$H,1),1),0)</f>
        <v>0</v>
      </c>
      <c r="J399">
        <f>IF(C399="SALE",G399*IF(F399="CARTON",_xlfn.XLOOKUP(D399,'ITEM MASTER'!$A:$A,'ITEM MASTER'!$H:$H,1),1),0)</f>
        <v>0</v>
      </c>
      <c r="K399">
        <f>SUMIFS($I$2:I399,$D$2:D399,D399)-SUMIFS($J$2:J399,$D$2:D399,D399)</f>
        <v>0</v>
      </c>
    </row>
    <row r="400" spans="5:11" x14ac:dyDescent="0.3">
      <c r="E400">
        <f>IFERROR(_xlfn.XLOOKUP(D400,'ITEM MASTER'!$A:$A,'ITEM MASTER'!$B:$B,""),"")</f>
        <v>0</v>
      </c>
      <c r="F400" t="s">
        <v>44</v>
      </c>
      <c r="H400">
        <f>IFERROR(_xlfn.XLOOKUP(D400,'ITEM MASTER'!$A:$A,'ITEM MASTER'!$I:$I,"")*IF(F400="CARTON",_xlfn.XLOOKUP(D400,'ITEM MASTER'!$A:$A,'ITEM MASTER'!$H:$H,1),1),"")</f>
        <v>0</v>
      </c>
      <c r="I400">
        <f>IF(OR(C400="PURCHASE",C400="OPENING"),G400*IF(F400="CARTON",_xlfn.XLOOKUP(D400,'ITEM MASTER'!$A:$A,'ITEM MASTER'!$H:$H,1),1),0)</f>
        <v>0</v>
      </c>
      <c r="J400">
        <f>IF(C400="SALE",G400*IF(F400="CARTON",_xlfn.XLOOKUP(D400,'ITEM MASTER'!$A:$A,'ITEM MASTER'!$H:$H,1),1),0)</f>
        <v>0</v>
      </c>
      <c r="K400">
        <f>SUMIFS($I$2:I400,$D$2:D400,D400)-SUMIFS($J$2:J400,$D$2:D400,D400)</f>
        <v>0</v>
      </c>
    </row>
    <row r="401" spans="5:11" x14ac:dyDescent="0.3">
      <c r="E401">
        <f>IFERROR(_xlfn.XLOOKUP(D401,'ITEM MASTER'!$A:$A,'ITEM MASTER'!$B:$B,""),"")</f>
        <v>0</v>
      </c>
      <c r="F401" t="s">
        <v>44</v>
      </c>
      <c r="H401">
        <f>IFERROR(_xlfn.XLOOKUP(D401,'ITEM MASTER'!$A:$A,'ITEM MASTER'!$I:$I,"")*IF(F401="CARTON",_xlfn.XLOOKUP(D401,'ITEM MASTER'!$A:$A,'ITEM MASTER'!$H:$H,1),1),"")</f>
        <v>0</v>
      </c>
      <c r="I401">
        <f>IF(OR(C401="PURCHASE",C401="OPENING"),G401*IF(F401="CARTON",_xlfn.XLOOKUP(D401,'ITEM MASTER'!$A:$A,'ITEM MASTER'!$H:$H,1),1),0)</f>
        <v>0</v>
      </c>
      <c r="J401">
        <f>IF(C401="SALE",G401*IF(F401="CARTON",_xlfn.XLOOKUP(D401,'ITEM MASTER'!$A:$A,'ITEM MASTER'!$H:$H,1),1),0)</f>
        <v>0</v>
      </c>
      <c r="K401">
        <f>SUMIFS($I$2:I401,$D$2:D401,D401)-SUMIFS($J$2:J401,$D$2:D401,D401)</f>
        <v>0</v>
      </c>
    </row>
    <row r="402" spans="5:11" x14ac:dyDescent="0.3">
      <c r="E402">
        <f>IFERROR(_xlfn.XLOOKUP(D402,'ITEM MASTER'!$A:$A,'ITEM MASTER'!$B:$B,""),"")</f>
        <v>0</v>
      </c>
      <c r="F402" t="s">
        <v>44</v>
      </c>
      <c r="H402">
        <f>IFERROR(_xlfn.XLOOKUP(D402,'ITEM MASTER'!$A:$A,'ITEM MASTER'!$I:$I,"")*IF(F402="CARTON",_xlfn.XLOOKUP(D402,'ITEM MASTER'!$A:$A,'ITEM MASTER'!$H:$H,1),1),"")</f>
        <v>0</v>
      </c>
      <c r="I402">
        <f>IF(OR(C402="PURCHASE",C402="OPENING"),G402*IF(F402="CARTON",_xlfn.XLOOKUP(D402,'ITEM MASTER'!$A:$A,'ITEM MASTER'!$H:$H,1),1),0)</f>
        <v>0</v>
      </c>
      <c r="J402">
        <f>IF(C402="SALE",G402*IF(F402="CARTON",_xlfn.XLOOKUP(D402,'ITEM MASTER'!$A:$A,'ITEM MASTER'!$H:$H,1),1),0)</f>
        <v>0</v>
      </c>
      <c r="K402">
        <f>SUMIFS($I$2:I402,$D$2:D402,D402)-SUMIFS($J$2:J402,$D$2:D402,D402)</f>
        <v>0</v>
      </c>
    </row>
    <row r="403" spans="5:11" x14ac:dyDescent="0.3">
      <c r="E403">
        <f>IFERROR(_xlfn.XLOOKUP(D403,'ITEM MASTER'!$A:$A,'ITEM MASTER'!$B:$B,""),"")</f>
        <v>0</v>
      </c>
      <c r="F403" t="s">
        <v>44</v>
      </c>
      <c r="H403">
        <f>IFERROR(_xlfn.XLOOKUP(D403,'ITEM MASTER'!$A:$A,'ITEM MASTER'!$I:$I,"")*IF(F403="CARTON",_xlfn.XLOOKUP(D403,'ITEM MASTER'!$A:$A,'ITEM MASTER'!$H:$H,1),1),"")</f>
        <v>0</v>
      </c>
      <c r="I403">
        <f>IF(OR(C403="PURCHASE",C403="OPENING"),G403*IF(F403="CARTON",_xlfn.XLOOKUP(D403,'ITEM MASTER'!$A:$A,'ITEM MASTER'!$H:$H,1),1),0)</f>
        <v>0</v>
      </c>
      <c r="J403">
        <f>IF(C403="SALE",G403*IF(F403="CARTON",_xlfn.XLOOKUP(D403,'ITEM MASTER'!$A:$A,'ITEM MASTER'!$H:$H,1),1),0)</f>
        <v>0</v>
      </c>
      <c r="K403">
        <f>SUMIFS($I$2:I403,$D$2:D403,D403)-SUMIFS($J$2:J403,$D$2:D403,D403)</f>
        <v>0</v>
      </c>
    </row>
    <row r="404" spans="5:11" x14ac:dyDescent="0.3">
      <c r="E404">
        <f>IFERROR(_xlfn.XLOOKUP(D404,'ITEM MASTER'!$A:$A,'ITEM MASTER'!$B:$B,""),"")</f>
        <v>0</v>
      </c>
      <c r="F404" t="s">
        <v>44</v>
      </c>
      <c r="H404">
        <f>IFERROR(_xlfn.XLOOKUP(D404,'ITEM MASTER'!$A:$A,'ITEM MASTER'!$I:$I,"")*IF(F404="CARTON",_xlfn.XLOOKUP(D404,'ITEM MASTER'!$A:$A,'ITEM MASTER'!$H:$H,1),1),"")</f>
        <v>0</v>
      </c>
      <c r="I404">
        <f>IF(OR(C404="PURCHASE",C404="OPENING"),G404*IF(F404="CARTON",_xlfn.XLOOKUP(D404,'ITEM MASTER'!$A:$A,'ITEM MASTER'!$H:$H,1),1),0)</f>
        <v>0</v>
      </c>
      <c r="J404">
        <f>IF(C404="SALE",G404*IF(F404="CARTON",_xlfn.XLOOKUP(D404,'ITEM MASTER'!$A:$A,'ITEM MASTER'!$H:$H,1),1),0)</f>
        <v>0</v>
      </c>
      <c r="K404">
        <f>SUMIFS($I$2:I404,$D$2:D404,D404)-SUMIFS($J$2:J404,$D$2:D404,D404)</f>
        <v>0</v>
      </c>
    </row>
    <row r="405" spans="5:11" x14ac:dyDescent="0.3">
      <c r="E405">
        <f>IFERROR(_xlfn.XLOOKUP(D405,'ITEM MASTER'!$A:$A,'ITEM MASTER'!$B:$B,""),"")</f>
        <v>0</v>
      </c>
      <c r="F405" t="s">
        <v>44</v>
      </c>
      <c r="H405">
        <f>IFERROR(_xlfn.XLOOKUP(D405,'ITEM MASTER'!$A:$A,'ITEM MASTER'!$I:$I,"")*IF(F405="CARTON",_xlfn.XLOOKUP(D405,'ITEM MASTER'!$A:$A,'ITEM MASTER'!$H:$H,1),1),"")</f>
        <v>0</v>
      </c>
      <c r="I405">
        <f>IF(OR(C405="PURCHASE",C405="OPENING"),G405*IF(F405="CARTON",_xlfn.XLOOKUP(D405,'ITEM MASTER'!$A:$A,'ITEM MASTER'!$H:$H,1),1),0)</f>
        <v>0</v>
      </c>
      <c r="J405">
        <f>IF(C405="SALE",G405*IF(F405="CARTON",_xlfn.XLOOKUP(D405,'ITEM MASTER'!$A:$A,'ITEM MASTER'!$H:$H,1),1),0)</f>
        <v>0</v>
      </c>
      <c r="K405">
        <f>SUMIFS($I$2:I405,$D$2:D405,D405)-SUMIFS($J$2:J405,$D$2:D405,D405)</f>
        <v>0</v>
      </c>
    </row>
    <row r="406" spans="5:11" x14ac:dyDescent="0.3">
      <c r="E406">
        <f>IFERROR(_xlfn.XLOOKUP(D406,'ITEM MASTER'!$A:$A,'ITEM MASTER'!$B:$B,""),"")</f>
        <v>0</v>
      </c>
      <c r="F406" t="s">
        <v>44</v>
      </c>
      <c r="H406">
        <f>IFERROR(_xlfn.XLOOKUP(D406,'ITEM MASTER'!$A:$A,'ITEM MASTER'!$I:$I,"")*IF(F406="CARTON",_xlfn.XLOOKUP(D406,'ITEM MASTER'!$A:$A,'ITEM MASTER'!$H:$H,1),1),"")</f>
        <v>0</v>
      </c>
      <c r="I406">
        <f>IF(OR(C406="PURCHASE",C406="OPENING"),G406*IF(F406="CARTON",_xlfn.XLOOKUP(D406,'ITEM MASTER'!$A:$A,'ITEM MASTER'!$H:$H,1),1),0)</f>
        <v>0</v>
      </c>
      <c r="J406">
        <f>IF(C406="SALE",G406*IF(F406="CARTON",_xlfn.XLOOKUP(D406,'ITEM MASTER'!$A:$A,'ITEM MASTER'!$H:$H,1),1),0)</f>
        <v>0</v>
      </c>
      <c r="K406">
        <f>SUMIFS($I$2:I406,$D$2:D406,D406)-SUMIFS($J$2:J406,$D$2:D406,D406)</f>
        <v>0</v>
      </c>
    </row>
    <row r="407" spans="5:11" x14ac:dyDescent="0.3">
      <c r="E407">
        <f>IFERROR(_xlfn.XLOOKUP(D407,'ITEM MASTER'!$A:$A,'ITEM MASTER'!$B:$B,""),"")</f>
        <v>0</v>
      </c>
      <c r="F407" t="s">
        <v>44</v>
      </c>
      <c r="H407">
        <f>IFERROR(_xlfn.XLOOKUP(D407,'ITEM MASTER'!$A:$A,'ITEM MASTER'!$I:$I,"")*IF(F407="CARTON",_xlfn.XLOOKUP(D407,'ITEM MASTER'!$A:$A,'ITEM MASTER'!$H:$H,1),1),"")</f>
        <v>0</v>
      </c>
      <c r="I407">
        <f>IF(OR(C407="PURCHASE",C407="OPENING"),G407*IF(F407="CARTON",_xlfn.XLOOKUP(D407,'ITEM MASTER'!$A:$A,'ITEM MASTER'!$H:$H,1),1),0)</f>
        <v>0</v>
      </c>
      <c r="J407">
        <f>IF(C407="SALE",G407*IF(F407="CARTON",_xlfn.XLOOKUP(D407,'ITEM MASTER'!$A:$A,'ITEM MASTER'!$H:$H,1),1),0)</f>
        <v>0</v>
      </c>
      <c r="K407">
        <f>SUMIFS($I$2:I407,$D$2:D407,D407)-SUMIFS($J$2:J407,$D$2:D407,D407)</f>
        <v>0</v>
      </c>
    </row>
    <row r="408" spans="5:11" x14ac:dyDescent="0.3">
      <c r="E408">
        <f>IFERROR(_xlfn.XLOOKUP(D408,'ITEM MASTER'!$A:$A,'ITEM MASTER'!$B:$B,""),"")</f>
        <v>0</v>
      </c>
      <c r="F408" t="s">
        <v>44</v>
      </c>
      <c r="H408">
        <f>IFERROR(_xlfn.XLOOKUP(D408,'ITEM MASTER'!$A:$A,'ITEM MASTER'!$I:$I,"")*IF(F408="CARTON",_xlfn.XLOOKUP(D408,'ITEM MASTER'!$A:$A,'ITEM MASTER'!$H:$H,1),1),"")</f>
        <v>0</v>
      </c>
      <c r="I408">
        <f>IF(OR(C408="PURCHASE",C408="OPENING"),G408*IF(F408="CARTON",_xlfn.XLOOKUP(D408,'ITEM MASTER'!$A:$A,'ITEM MASTER'!$H:$H,1),1),0)</f>
        <v>0</v>
      </c>
      <c r="J408">
        <f>IF(C408="SALE",G408*IF(F408="CARTON",_xlfn.XLOOKUP(D408,'ITEM MASTER'!$A:$A,'ITEM MASTER'!$H:$H,1),1),0)</f>
        <v>0</v>
      </c>
      <c r="K408">
        <f>SUMIFS($I$2:I408,$D$2:D408,D408)-SUMIFS($J$2:J408,$D$2:D408,D408)</f>
        <v>0</v>
      </c>
    </row>
    <row r="409" spans="5:11" x14ac:dyDescent="0.3">
      <c r="E409">
        <f>IFERROR(_xlfn.XLOOKUP(D409,'ITEM MASTER'!$A:$A,'ITEM MASTER'!$B:$B,""),"")</f>
        <v>0</v>
      </c>
      <c r="F409" t="s">
        <v>44</v>
      </c>
      <c r="H409">
        <f>IFERROR(_xlfn.XLOOKUP(D409,'ITEM MASTER'!$A:$A,'ITEM MASTER'!$I:$I,"")*IF(F409="CARTON",_xlfn.XLOOKUP(D409,'ITEM MASTER'!$A:$A,'ITEM MASTER'!$H:$H,1),1),"")</f>
        <v>0</v>
      </c>
      <c r="I409">
        <f>IF(OR(C409="PURCHASE",C409="OPENING"),G409*IF(F409="CARTON",_xlfn.XLOOKUP(D409,'ITEM MASTER'!$A:$A,'ITEM MASTER'!$H:$H,1),1),0)</f>
        <v>0</v>
      </c>
      <c r="J409">
        <f>IF(C409="SALE",G409*IF(F409="CARTON",_xlfn.XLOOKUP(D409,'ITEM MASTER'!$A:$A,'ITEM MASTER'!$H:$H,1),1),0)</f>
        <v>0</v>
      </c>
      <c r="K409">
        <f>SUMIFS($I$2:I409,$D$2:D409,D409)-SUMIFS($J$2:J409,$D$2:D409,D409)</f>
        <v>0</v>
      </c>
    </row>
    <row r="410" spans="5:11" x14ac:dyDescent="0.3">
      <c r="E410">
        <f>IFERROR(_xlfn.XLOOKUP(D410,'ITEM MASTER'!$A:$A,'ITEM MASTER'!$B:$B,""),"")</f>
        <v>0</v>
      </c>
      <c r="F410" t="s">
        <v>44</v>
      </c>
      <c r="H410">
        <f>IFERROR(_xlfn.XLOOKUP(D410,'ITEM MASTER'!$A:$A,'ITEM MASTER'!$I:$I,"")*IF(F410="CARTON",_xlfn.XLOOKUP(D410,'ITEM MASTER'!$A:$A,'ITEM MASTER'!$H:$H,1),1),"")</f>
        <v>0</v>
      </c>
      <c r="I410">
        <f>IF(OR(C410="PURCHASE",C410="OPENING"),G410*IF(F410="CARTON",_xlfn.XLOOKUP(D410,'ITEM MASTER'!$A:$A,'ITEM MASTER'!$H:$H,1),1),0)</f>
        <v>0</v>
      </c>
      <c r="J410">
        <f>IF(C410="SALE",G410*IF(F410="CARTON",_xlfn.XLOOKUP(D410,'ITEM MASTER'!$A:$A,'ITEM MASTER'!$H:$H,1),1),0)</f>
        <v>0</v>
      </c>
      <c r="K410">
        <f>SUMIFS($I$2:I410,$D$2:D410,D410)-SUMIFS($J$2:J410,$D$2:D410,D410)</f>
        <v>0</v>
      </c>
    </row>
    <row r="411" spans="5:11" x14ac:dyDescent="0.3">
      <c r="E411">
        <f>IFERROR(_xlfn.XLOOKUP(D411,'ITEM MASTER'!$A:$A,'ITEM MASTER'!$B:$B,""),"")</f>
        <v>0</v>
      </c>
      <c r="F411" t="s">
        <v>44</v>
      </c>
      <c r="H411">
        <f>IFERROR(_xlfn.XLOOKUP(D411,'ITEM MASTER'!$A:$A,'ITEM MASTER'!$I:$I,"")*IF(F411="CARTON",_xlfn.XLOOKUP(D411,'ITEM MASTER'!$A:$A,'ITEM MASTER'!$H:$H,1),1),"")</f>
        <v>0</v>
      </c>
      <c r="I411">
        <f>IF(OR(C411="PURCHASE",C411="OPENING"),G411*IF(F411="CARTON",_xlfn.XLOOKUP(D411,'ITEM MASTER'!$A:$A,'ITEM MASTER'!$H:$H,1),1),0)</f>
        <v>0</v>
      </c>
      <c r="J411">
        <f>IF(C411="SALE",G411*IF(F411="CARTON",_xlfn.XLOOKUP(D411,'ITEM MASTER'!$A:$A,'ITEM MASTER'!$H:$H,1),1),0)</f>
        <v>0</v>
      </c>
      <c r="K411">
        <f>SUMIFS($I$2:I411,$D$2:D411,D411)-SUMIFS($J$2:J411,$D$2:D411,D411)</f>
        <v>0</v>
      </c>
    </row>
    <row r="412" spans="5:11" x14ac:dyDescent="0.3">
      <c r="E412">
        <f>IFERROR(_xlfn.XLOOKUP(D412,'ITEM MASTER'!$A:$A,'ITEM MASTER'!$B:$B,""),"")</f>
        <v>0</v>
      </c>
      <c r="F412" t="s">
        <v>44</v>
      </c>
      <c r="H412">
        <f>IFERROR(_xlfn.XLOOKUP(D412,'ITEM MASTER'!$A:$A,'ITEM MASTER'!$I:$I,"")*IF(F412="CARTON",_xlfn.XLOOKUP(D412,'ITEM MASTER'!$A:$A,'ITEM MASTER'!$H:$H,1),1),"")</f>
        <v>0</v>
      </c>
      <c r="I412">
        <f>IF(OR(C412="PURCHASE",C412="OPENING"),G412*IF(F412="CARTON",_xlfn.XLOOKUP(D412,'ITEM MASTER'!$A:$A,'ITEM MASTER'!$H:$H,1),1),0)</f>
        <v>0</v>
      </c>
      <c r="J412">
        <f>IF(C412="SALE",G412*IF(F412="CARTON",_xlfn.XLOOKUP(D412,'ITEM MASTER'!$A:$A,'ITEM MASTER'!$H:$H,1),1),0)</f>
        <v>0</v>
      </c>
      <c r="K412">
        <f>SUMIFS($I$2:I412,$D$2:D412,D412)-SUMIFS($J$2:J412,$D$2:D412,D412)</f>
        <v>0</v>
      </c>
    </row>
    <row r="413" spans="5:11" x14ac:dyDescent="0.3">
      <c r="E413">
        <f>IFERROR(_xlfn.XLOOKUP(D413,'ITEM MASTER'!$A:$A,'ITEM MASTER'!$B:$B,""),"")</f>
        <v>0</v>
      </c>
      <c r="F413" t="s">
        <v>44</v>
      </c>
      <c r="H413">
        <f>IFERROR(_xlfn.XLOOKUP(D413,'ITEM MASTER'!$A:$A,'ITEM MASTER'!$I:$I,"")*IF(F413="CARTON",_xlfn.XLOOKUP(D413,'ITEM MASTER'!$A:$A,'ITEM MASTER'!$H:$H,1),1),"")</f>
        <v>0</v>
      </c>
      <c r="I413">
        <f>IF(OR(C413="PURCHASE",C413="OPENING"),G413*IF(F413="CARTON",_xlfn.XLOOKUP(D413,'ITEM MASTER'!$A:$A,'ITEM MASTER'!$H:$H,1),1),0)</f>
        <v>0</v>
      </c>
      <c r="J413">
        <f>IF(C413="SALE",G413*IF(F413="CARTON",_xlfn.XLOOKUP(D413,'ITEM MASTER'!$A:$A,'ITEM MASTER'!$H:$H,1),1),0)</f>
        <v>0</v>
      </c>
      <c r="K413">
        <f>SUMIFS($I$2:I413,$D$2:D413,D413)-SUMIFS($J$2:J413,$D$2:D413,D413)</f>
        <v>0</v>
      </c>
    </row>
    <row r="414" spans="5:11" x14ac:dyDescent="0.3">
      <c r="E414">
        <f>IFERROR(_xlfn.XLOOKUP(D414,'ITEM MASTER'!$A:$A,'ITEM MASTER'!$B:$B,""),"")</f>
        <v>0</v>
      </c>
      <c r="F414" t="s">
        <v>44</v>
      </c>
      <c r="H414">
        <f>IFERROR(_xlfn.XLOOKUP(D414,'ITEM MASTER'!$A:$A,'ITEM MASTER'!$I:$I,"")*IF(F414="CARTON",_xlfn.XLOOKUP(D414,'ITEM MASTER'!$A:$A,'ITEM MASTER'!$H:$H,1),1),"")</f>
        <v>0</v>
      </c>
      <c r="I414">
        <f>IF(OR(C414="PURCHASE",C414="OPENING"),G414*IF(F414="CARTON",_xlfn.XLOOKUP(D414,'ITEM MASTER'!$A:$A,'ITEM MASTER'!$H:$H,1),1),0)</f>
        <v>0</v>
      </c>
      <c r="J414">
        <f>IF(C414="SALE",G414*IF(F414="CARTON",_xlfn.XLOOKUP(D414,'ITEM MASTER'!$A:$A,'ITEM MASTER'!$H:$H,1),1),0)</f>
        <v>0</v>
      </c>
      <c r="K414">
        <f>SUMIFS($I$2:I414,$D$2:D414,D414)-SUMIFS($J$2:J414,$D$2:D414,D414)</f>
        <v>0</v>
      </c>
    </row>
    <row r="415" spans="5:11" x14ac:dyDescent="0.3">
      <c r="E415">
        <f>IFERROR(_xlfn.XLOOKUP(D415,'ITEM MASTER'!$A:$A,'ITEM MASTER'!$B:$B,""),"")</f>
        <v>0</v>
      </c>
      <c r="F415" t="s">
        <v>44</v>
      </c>
      <c r="H415">
        <f>IFERROR(_xlfn.XLOOKUP(D415,'ITEM MASTER'!$A:$A,'ITEM MASTER'!$I:$I,"")*IF(F415="CARTON",_xlfn.XLOOKUP(D415,'ITEM MASTER'!$A:$A,'ITEM MASTER'!$H:$H,1),1),"")</f>
        <v>0</v>
      </c>
      <c r="I415">
        <f>IF(OR(C415="PURCHASE",C415="OPENING"),G415*IF(F415="CARTON",_xlfn.XLOOKUP(D415,'ITEM MASTER'!$A:$A,'ITEM MASTER'!$H:$H,1),1),0)</f>
        <v>0</v>
      </c>
      <c r="J415">
        <f>IF(C415="SALE",G415*IF(F415="CARTON",_xlfn.XLOOKUP(D415,'ITEM MASTER'!$A:$A,'ITEM MASTER'!$H:$H,1),1),0)</f>
        <v>0</v>
      </c>
      <c r="K415">
        <f>SUMIFS($I$2:I415,$D$2:D415,D415)-SUMIFS($J$2:J415,$D$2:D415,D415)</f>
        <v>0</v>
      </c>
    </row>
    <row r="416" spans="5:11" x14ac:dyDescent="0.3">
      <c r="E416">
        <f>IFERROR(_xlfn.XLOOKUP(D416,'ITEM MASTER'!$A:$A,'ITEM MASTER'!$B:$B,""),"")</f>
        <v>0</v>
      </c>
      <c r="F416" t="s">
        <v>44</v>
      </c>
      <c r="H416">
        <f>IFERROR(_xlfn.XLOOKUP(D416,'ITEM MASTER'!$A:$A,'ITEM MASTER'!$I:$I,"")*IF(F416="CARTON",_xlfn.XLOOKUP(D416,'ITEM MASTER'!$A:$A,'ITEM MASTER'!$H:$H,1),1),"")</f>
        <v>0</v>
      </c>
      <c r="I416">
        <f>IF(OR(C416="PURCHASE",C416="OPENING"),G416*IF(F416="CARTON",_xlfn.XLOOKUP(D416,'ITEM MASTER'!$A:$A,'ITEM MASTER'!$H:$H,1),1),0)</f>
        <v>0</v>
      </c>
      <c r="J416">
        <f>IF(C416="SALE",G416*IF(F416="CARTON",_xlfn.XLOOKUP(D416,'ITEM MASTER'!$A:$A,'ITEM MASTER'!$H:$H,1),1),0)</f>
        <v>0</v>
      </c>
      <c r="K416">
        <f>SUMIFS($I$2:I416,$D$2:D416,D416)-SUMIFS($J$2:J416,$D$2:D416,D416)</f>
        <v>0</v>
      </c>
    </row>
    <row r="417" spans="5:11" x14ac:dyDescent="0.3">
      <c r="E417">
        <f>IFERROR(_xlfn.XLOOKUP(D417,'ITEM MASTER'!$A:$A,'ITEM MASTER'!$B:$B,""),"")</f>
        <v>0</v>
      </c>
      <c r="F417" t="s">
        <v>44</v>
      </c>
      <c r="H417">
        <f>IFERROR(_xlfn.XLOOKUP(D417,'ITEM MASTER'!$A:$A,'ITEM MASTER'!$I:$I,"")*IF(F417="CARTON",_xlfn.XLOOKUP(D417,'ITEM MASTER'!$A:$A,'ITEM MASTER'!$H:$H,1),1),"")</f>
        <v>0</v>
      </c>
      <c r="I417">
        <f>IF(OR(C417="PURCHASE",C417="OPENING"),G417*IF(F417="CARTON",_xlfn.XLOOKUP(D417,'ITEM MASTER'!$A:$A,'ITEM MASTER'!$H:$H,1),1),0)</f>
        <v>0</v>
      </c>
      <c r="J417">
        <f>IF(C417="SALE",G417*IF(F417="CARTON",_xlfn.XLOOKUP(D417,'ITEM MASTER'!$A:$A,'ITEM MASTER'!$H:$H,1),1),0)</f>
        <v>0</v>
      </c>
      <c r="K417">
        <f>SUMIFS($I$2:I417,$D$2:D417,D417)-SUMIFS($J$2:J417,$D$2:D417,D417)</f>
        <v>0</v>
      </c>
    </row>
    <row r="418" spans="5:11" x14ac:dyDescent="0.3">
      <c r="E418">
        <f>IFERROR(_xlfn.XLOOKUP(D418,'ITEM MASTER'!$A:$A,'ITEM MASTER'!$B:$B,""),"")</f>
        <v>0</v>
      </c>
      <c r="F418" t="s">
        <v>44</v>
      </c>
      <c r="H418">
        <f>IFERROR(_xlfn.XLOOKUP(D418,'ITEM MASTER'!$A:$A,'ITEM MASTER'!$I:$I,"")*IF(F418="CARTON",_xlfn.XLOOKUP(D418,'ITEM MASTER'!$A:$A,'ITEM MASTER'!$H:$H,1),1),"")</f>
        <v>0</v>
      </c>
      <c r="I418">
        <f>IF(OR(C418="PURCHASE",C418="OPENING"),G418*IF(F418="CARTON",_xlfn.XLOOKUP(D418,'ITEM MASTER'!$A:$A,'ITEM MASTER'!$H:$H,1),1),0)</f>
        <v>0</v>
      </c>
      <c r="J418">
        <f>IF(C418="SALE",G418*IF(F418="CARTON",_xlfn.XLOOKUP(D418,'ITEM MASTER'!$A:$A,'ITEM MASTER'!$H:$H,1),1),0)</f>
        <v>0</v>
      </c>
      <c r="K418">
        <f>SUMIFS($I$2:I418,$D$2:D418,D418)-SUMIFS($J$2:J418,$D$2:D418,D418)</f>
        <v>0</v>
      </c>
    </row>
    <row r="419" spans="5:11" x14ac:dyDescent="0.3">
      <c r="E419">
        <f>IFERROR(_xlfn.XLOOKUP(D419,'ITEM MASTER'!$A:$A,'ITEM MASTER'!$B:$B,""),"")</f>
        <v>0</v>
      </c>
      <c r="F419" t="s">
        <v>44</v>
      </c>
      <c r="H419">
        <f>IFERROR(_xlfn.XLOOKUP(D419,'ITEM MASTER'!$A:$A,'ITEM MASTER'!$I:$I,"")*IF(F419="CARTON",_xlfn.XLOOKUP(D419,'ITEM MASTER'!$A:$A,'ITEM MASTER'!$H:$H,1),1),"")</f>
        <v>0</v>
      </c>
      <c r="I419">
        <f>IF(OR(C419="PURCHASE",C419="OPENING"),G419*IF(F419="CARTON",_xlfn.XLOOKUP(D419,'ITEM MASTER'!$A:$A,'ITEM MASTER'!$H:$H,1),1),0)</f>
        <v>0</v>
      </c>
      <c r="J419">
        <f>IF(C419="SALE",G419*IF(F419="CARTON",_xlfn.XLOOKUP(D419,'ITEM MASTER'!$A:$A,'ITEM MASTER'!$H:$H,1),1),0)</f>
        <v>0</v>
      </c>
      <c r="K419">
        <f>SUMIFS($I$2:I419,$D$2:D419,D419)-SUMIFS($J$2:J419,$D$2:D419,D419)</f>
        <v>0</v>
      </c>
    </row>
    <row r="420" spans="5:11" x14ac:dyDescent="0.3">
      <c r="E420">
        <f>IFERROR(_xlfn.XLOOKUP(D420,'ITEM MASTER'!$A:$A,'ITEM MASTER'!$B:$B,""),"")</f>
        <v>0</v>
      </c>
      <c r="F420" t="s">
        <v>44</v>
      </c>
      <c r="H420">
        <f>IFERROR(_xlfn.XLOOKUP(D420,'ITEM MASTER'!$A:$A,'ITEM MASTER'!$I:$I,"")*IF(F420="CARTON",_xlfn.XLOOKUP(D420,'ITEM MASTER'!$A:$A,'ITEM MASTER'!$H:$H,1),1),"")</f>
        <v>0</v>
      </c>
      <c r="I420">
        <f>IF(OR(C420="PURCHASE",C420="OPENING"),G420*IF(F420="CARTON",_xlfn.XLOOKUP(D420,'ITEM MASTER'!$A:$A,'ITEM MASTER'!$H:$H,1),1),0)</f>
        <v>0</v>
      </c>
      <c r="J420">
        <f>IF(C420="SALE",G420*IF(F420="CARTON",_xlfn.XLOOKUP(D420,'ITEM MASTER'!$A:$A,'ITEM MASTER'!$H:$H,1),1),0)</f>
        <v>0</v>
      </c>
      <c r="K420">
        <f>SUMIFS($I$2:I420,$D$2:D420,D420)-SUMIFS($J$2:J420,$D$2:D420,D420)</f>
        <v>0</v>
      </c>
    </row>
    <row r="421" spans="5:11" x14ac:dyDescent="0.3">
      <c r="E421">
        <f>IFERROR(_xlfn.XLOOKUP(D421,'ITEM MASTER'!$A:$A,'ITEM MASTER'!$B:$B,""),"")</f>
        <v>0</v>
      </c>
      <c r="F421" t="s">
        <v>44</v>
      </c>
      <c r="H421">
        <f>IFERROR(_xlfn.XLOOKUP(D421,'ITEM MASTER'!$A:$A,'ITEM MASTER'!$I:$I,"")*IF(F421="CARTON",_xlfn.XLOOKUP(D421,'ITEM MASTER'!$A:$A,'ITEM MASTER'!$H:$H,1),1),"")</f>
        <v>0</v>
      </c>
      <c r="I421">
        <f>IF(OR(C421="PURCHASE",C421="OPENING"),G421*IF(F421="CARTON",_xlfn.XLOOKUP(D421,'ITEM MASTER'!$A:$A,'ITEM MASTER'!$H:$H,1),1),0)</f>
        <v>0</v>
      </c>
      <c r="J421">
        <f>IF(C421="SALE",G421*IF(F421="CARTON",_xlfn.XLOOKUP(D421,'ITEM MASTER'!$A:$A,'ITEM MASTER'!$H:$H,1),1),0)</f>
        <v>0</v>
      </c>
      <c r="K421">
        <f>SUMIFS($I$2:I421,$D$2:D421,D421)-SUMIFS($J$2:J421,$D$2:D421,D421)</f>
        <v>0</v>
      </c>
    </row>
    <row r="422" spans="5:11" x14ac:dyDescent="0.3">
      <c r="E422">
        <f>IFERROR(_xlfn.XLOOKUP(D422,'ITEM MASTER'!$A:$A,'ITEM MASTER'!$B:$B,""),"")</f>
        <v>0</v>
      </c>
      <c r="F422" t="s">
        <v>44</v>
      </c>
      <c r="H422">
        <f>IFERROR(_xlfn.XLOOKUP(D422,'ITEM MASTER'!$A:$A,'ITEM MASTER'!$I:$I,"")*IF(F422="CARTON",_xlfn.XLOOKUP(D422,'ITEM MASTER'!$A:$A,'ITEM MASTER'!$H:$H,1),1),"")</f>
        <v>0</v>
      </c>
      <c r="I422">
        <f>IF(OR(C422="PURCHASE",C422="OPENING"),G422*IF(F422="CARTON",_xlfn.XLOOKUP(D422,'ITEM MASTER'!$A:$A,'ITEM MASTER'!$H:$H,1),1),0)</f>
        <v>0</v>
      </c>
      <c r="J422">
        <f>IF(C422="SALE",G422*IF(F422="CARTON",_xlfn.XLOOKUP(D422,'ITEM MASTER'!$A:$A,'ITEM MASTER'!$H:$H,1),1),0)</f>
        <v>0</v>
      </c>
      <c r="K422">
        <f>SUMIFS($I$2:I422,$D$2:D422,D422)-SUMIFS($J$2:J422,$D$2:D422,D422)</f>
        <v>0</v>
      </c>
    </row>
    <row r="423" spans="5:11" x14ac:dyDescent="0.3">
      <c r="E423">
        <f>IFERROR(_xlfn.XLOOKUP(D423,'ITEM MASTER'!$A:$A,'ITEM MASTER'!$B:$B,""),"")</f>
        <v>0</v>
      </c>
      <c r="F423" t="s">
        <v>44</v>
      </c>
      <c r="H423">
        <f>IFERROR(_xlfn.XLOOKUP(D423,'ITEM MASTER'!$A:$A,'ITEM MASTER'!$I:$I,"")*IF(F423="CARTON",_xlfn.XLOOKUP(D423,'ITEM MASTER'!$A:$A,'ITEM MASTER'!$H:$H,1),1),"")</f>
        <v>0</v>
      </c>
      <c r="I423">
        <f>IF(OR(C423="PURCHASE",C423="OPENING"),G423*IF(F423="CARTON",_xlfn.XLOOKUP(D423,'ITEM MASTER'!$A:$A,'ITEM MASTER'!$H:$H,1),1),0)</f>
        <v>0</v>
      </c>
      <c r="J423">
        <f>IF(C423="SALE",G423*IF(F423="CARTON",_xlfn.XLOOKUP(D423,'ITEM MASTER'!$A:$A,'ITEM MASTER'!$H:$H,1),1),0)</f>
        <v>0</v>
      </c>
      <c r="K423">
        <f>SUMIFS($I$2:I423,$D$2:D423,D423)-SUMIFS($J$2:J423,$D$2:D423,D423)</f>
        <v>0</v>
      </c>
    </row>
    <row r="424" spans="5:11" x14ac:dyDescent="0.3">
      <c r="E424">
        <f>IFERROR(_xlfn.XLOOKUP(D424,'ITEM MASTER'!$A:$A,'ITEM MASTER'!$B:$B,""),"")</f>
        <v>0</v>
      </c>
      <c r="F424" t="s">
        <v>44</v>
      </c>
      <c r="H424">
        <f>IFERROR(_xlfn.XLOOKUP(D424,'ITEM MASTER'!$A:$A,'ITEM MASTER'!$I:$I,"")*IF(F424="CARTON",_xlfn.XLOOKUP(D424,'ITEM MASTER'!$A:$A,'ITEM MASTER'!$H:$H,1),1),"")</f>
        <v>0</v>
      </c>
      <c r="I424">
        <f>IF(OR(C424="PURCHASE",C424="OPENING"),G424*IF(F424="CARTON",_xlfn.XLOOKUP(D424,'ITEM MASTER'!$A:$A,'ITEM MASTER'!$H:$H,1),1),0)</f>
        <v>0</v>
      </c>
      <c r="J424">
        <f>IF(C424="SALE",G424*IF(F424="CARTON",_xlfn.XLOOKUP(D424,'ITEM MASTER'!$A:$A,'ITEM MASTER'!$H:$H,1),1),0)</f>
        <v>0</v>
      </c>
      <c r="K424">
        <f>SUMIFS($I$2:I424,$D$2:D424,D424)-SUMIFS($J$2:J424,$D$2:D424,D424)</f>
        <v>0</v>
      </c>
    </row>
    <row r="425" spans="5:11" x14ac:dyDescent="0.3">
      <c r="E425">
        <f>IFERROR(_xlfn.XLOOKUP(D425,'ITEM MASTER'!$A:$A,'ITEM MASTER'!$B:$B,""),"")</f>
        <v>0</v>
      </c>
      <c r="F425" t="s">
        <v>44</v>
      </c>
      <c r="H425">
        <f>IFERROR(_xlfn.XLOOKUP(D425,'ITEM MASTER'!$A:$A,'ITEM MASTER'!$I:$I,"")*IF(F425="CARTON",_xlfn.XLOOKUP(D425,'ITEM MASTER'!$A:$A,'ITEM MASTER'!$H:$H,1),1),"")</f>
        <v>0</v>
      </c>
      <c r="I425">
        <f>IF(OR(C425="PURCHASE",C425="OPENING"),G425*IF(F425="CARTON",_xlfn.XLOOKUP(D425,'ITEM MASTER'!$A:$A,'ITEM MASTER'!$H:$H,1),1),0)</f>
        <v>0</v>
      </c>
      <c r="J425">
        <f>IF(C425="SALE",G425*IF(F425="CARTON",_xlfn.XLOOKUP(D425,'ITEM MASTER'!$A:$A,'ITEM MASTER'!$H:$H,1),1),0)</f>
        <v>0</v>
      </c>
      <c r="K425">
        <f>SUMIFS($I$2:I425,$D$2:D425,D425)-SUMIFS($J$2:J425,$D$2:D425,D425)</f>
        <v>0</v>
      </c>
    </row>
    <row r="426" spans="5:11" x14ac:dyDescent="0.3">
      <c r="E426">
        <f>IFERROR(_xlfn.XLOOKUP(D426,'ITEM MASTER'!$A:$A,'ITEM MASTER'!$B:$B,""),"")</f>
        <v>0</v>
      </c>
      <c r="F426" t="s">
        <v>44</v>
      </c>
      <c r="H426">
        <f>IFERROR(_xlfn.XLOOKUP(D426,'ITEM MASTER'!$A:$A,'ITEM MASTER'!$I:$I,"")*IF(F426="CARTON",_xlfn.XLOOKUP(D426,'ITEM MASTER'!$A:$A,'ITEM MASTER'!$H:$H,1),1),"")</f>
        <v>0</v>
      </c>
      <c r="I426">
        <f>IF(OR(C426="PURCHASE",C426="OPENING"),G426*IF(F426="CARTON",_xlfn.XLOOKUP(D426,'ITEM MASTER'!$A:$A,'ITEM MASTER'!$H:$H,1),1),0)</f>
        <v>0</v>
      </c>
      <c r="J426">
        <f>IF(C426="SALE",G426*IF(F426="CARTON",_xlfn.XLOOKUP(D426,'ITEM MASTER'!$A:$A,'ITEM MASTER'!$H:$H,1),1),0)</f>
        <v>0</v>
      </c>
      <c r="K426">
        <f>SUMIFS($I$2:I426,$D$2:D426,D426)-SUMIFS($J$2:J426,$D$2:D426,D426)</f>
        <v>0</v>
      </c>
    </row>
    <row r="427" spans="5:11" x14ac:dyDescent="0.3">
      <c r="E427">
        <f>IFERROR(_xlfn.XLOOKUP(D427,'ITEM MASTER'!$A:$A,'ITEM MASTER'!$B:$B,""),"")</f>
        <v>0</v>
      </c>
      <c r="F427" t="s">
        <v>44</v>
      </c>
      <c r="H427">
        <f>IFERROR(_xlfn.XLOOKUP(D427,'ITEM MASTER'!$A:$A,'ITEM MASTER'!$I:$I,"")*IF(F427="CARTON",_xlfn.XLOOKUP(D427,'ITEM MASTER'!$A:$A,'ITEM MASTER'!$H:$H,1),1),"")</f>
        <v>0</v>
      </c>
      <c r="I427">
        <f>IF(OR(C427="PURCHASE",C427="OPENING"),G427*IF(F427="CARTON",_xlfn.XLOOKUP(D427,'ITEM MASTER'!$A:$A,'ITEM MASTER'!$H:$H,1),1),0)</f>
        <v>0</v>
      </c>
      <c r="J427">
        <f>IF(C427="SALE",G427*IF(F427="CARTON",_xlfn.XLOOKUP(D427,'ITEM MASTER'!$A:$A,'ITEM MASTER'!$H:$H,1),1),0)</f>
        <v>0</v>
      </c>
      <c r="K427">
        <f>SUMIFS($I$2:I427,$D$2:D427,D427)-SUMIFS($J$2:J427,$D$2:D427,D427)</f>
        <v>0</v>
      </c>
    </row>
    <row r="428" spans="5:11" x14ac:dyDescent="0.3">
      <c r="E428">
        <f>IFERROR(_xlfn.XLOOKUP(D428,'ITEM MASTER'!$A:$A,'ITEM MASTER'!$B:$B,""),"")</f>
        <v>0</v>
      </c>
      <c r="F428" t="s">
        <v>44</v>
      </c>
      <c r="H428">
        <f>IFERROR(_xlfn.XLOOKUP(D428,'ITEM MASTER'!$A:$A,'ITEM MASTER'!$I:$I,"")*IF(F428="CARTON",_xlfn.XLOOKUP(D428,'ITEM MASTER'!$A:$A,'ITEM MASTER'!$H:$H,1),1),"")</f>
        <v>0</v>
      </c>
      <c r="I428">
        <f>IF(OR(C428="PURCHASE",C428="OPENING"),G428*IF(F428="CARTON",_xlfn.XLOOKUP(D428,'ITEM MASTER'!$A:$A,'ITEM MASTER'!$H:$H,1),1),0)</f>
        <v>0</v>
      </c>
      <c r="J428">
        <f>IF(C428="SALE",G428*IF(F428="CARTON",_xlfn.XLOOKUP(D428,'ITEM MASTER'!$A:$A,'ITEM MASTER'!$H:$H,1),1),0)</f>
        <v>0</v>
      </c>
      <c r="K428">
        <f>SUMIFS($I$2:I428,$D$2:D428,D428)-SUMIFS($J$2:J428,$D$2:D428,D428)</f>
        <v>0</v>
      </c>
    </row>
    <row r="429" spans="5:11" x14ac:dyDescent="0.3">
      <c r="E429">
        <f>IFERROR(_xlfn.XLOOKUP(D429,'ITEM MASTER'!$A:$A,'ITEM MASTER'!$B:$B,""),"")</f>
        <v>0</v>
      </c>
      <c r="F429" t="s">
        <v>44</v>
      </c>
      <c r="H429">
        <f>IFERROR(_xlfn.XLOOKUP(D429,'ITEM MASTER'!$A:$A,'ITEM MASTER'!$I:$I,"")*IF(F429="CARTON",_xlfn.XLOOKUP(D429,'ITEM MASTER'!$A:$A,'ITEM MASTER'!$H:$H,1),1),"")</f>
        <v>0</v>
      </c>
      <c r="I429">
        <f>IF(OR(C429="PURCHASE",C429="OPENING"),G429*IF(F429="CARTON",_xlfn.XLOOKUP(D429,'ITEM MASTER'!$A:$A,'ITEM MASTER'!$H:$H,1),1),0)</f>
        <v>0</v>
      </c>
      <c r="J429">
        <f>IF(C429="SALE",G429*IF(F429="CARTON",_xlfn.XLOOKUP(D429,'ITEM MASTER'!$A:$A,'ITEM MASTER'!$H:$H,1),1),0)</f>
        <v>0</v>
      </c>
      <c r="K429">
        <f>SUMIFS($I$2:I429,$D$2:D429,D429)-SUMIFS($J$2:J429,$D$2:D429,D429)</f>
        <v>0</v>
      </c>
    </row>
    <row r="430" spans="5:11" x14ac:dyDescent="0.3">
      <c r="E430">
        <f>IFERROR(_xlfn.XLOOKUP(D430,'ITEM MASTER'!$A:$A,'ITEM MASTER'!$B:$B,""),"")</f>
        <v>0</v>
      </c>
      <c r="F430" t="s">
        <v>44</v>
      </c>
      <c r="H430">
        <f>IFERROR(_xlfn.XLOOKUP(D430,'ITEM MASTER'!$A:$A,'ITEM MASTER'!$I:$I,"")*IF(F430="CARTON",_xlfn.XLOOKUP(D430,'ITEM MASTER'!$A:$A,'ITEM MASTER'!$H:$H,1),1),"")</f>
        <v>0</v>
      </c>
      <c r="I430">
        <f>IF(OR(C430="PURCHASE",C430="OPENING"),G430*IF(F430="CARTON",_xlfn.XLOOKUP(D430,'ITEM MASTER'!$A:$A,'ITEM MASTER'!$H:$H,1),1),0)</f>
        <v>0</v>
      </c>
      <c r="J430">
        <f>IF(C430="SALE",G430*IF(F430="CARTON",_xlfn.XLOOKUP(D430,'ITEM MASTER'!$A:$A,'ITEM MASTER'!$H:$H,1),1),0)</f>
        <v>0</v>
      </c>
      <c r="K430">
        <f>SUMIFS($I$2:I430,$D$2:D430,D430)-SUMIFS($J$2:J430,$D$2:D430,D430)</f>
        <v>0</v>
      </c>
    </row>
    <row r="431" spans="5:11" x14ac:dyDescent="0.3">
      <c r="E431">
        <f>IFERROR(_xlfn.XLOOKUP(D431,'ITEM MASTER'!$A:$A,'ITEM MASTER'!$B:$B,""),"")</f>
        <v>0</v>
      </c>
      <c r="F431" t="s">
        <v>44</v>
      </c>
      <c r="H431">
        <f>IFERROR(_xlfn.XLOOKUP(D431,'ITEM MASTER'!$A:$A,'ITEM MASTER'!$I:$I,"")*IF(F431="CARTON",_xlfn.XLOOKUP(D431,'ITEM MASTER'!$A:$A,'ITEM MASTER'!$H:$H,1),1),"")</f>
        <v>0</v>
      </c>
      <c r="I431">
        <f>IF(OR(C431="PURCHASE",C431="OPENING"),G431*IF(F431="CARTON",_xlfn.XLOOKUP(D431,'ITEM MASTER'!$A:$A,'ITEM MASTER'!$H:$H,1),1),0)</f>
        <v>0</v>
      </c>
      <c r="J431">
        <f>IF(C431="SALE",G431*IF(F431="CARTON",_xlfn.XLOOKUP(D431,'ITEM MASTER'!$A:$A,'ITEM MASTER'!$H:$H,1),1),0)</f>
        <v>0</v>
      </c>
      <c r="K431">
        <f>SUMIFS($I$2:I431,$D$2:D431,D431)-SUMIFS($J$2:J431,$D$2:D431,D431)</f>
        <v>0</v>
      </c>
    </row>
    <row r="432" spans="5:11" x14ac:dyDescent="0.3">
      <c r="E432">
        <f>IFERROR(_xlfn.XLOOKUP(D432,'ITEM MASTER'!$A:$A,'ITEM MASTER'!$B:$B,""),"")</f>
        <v>0</v>
      </c>
      <c r="F432" t="s">
        <v>44</v>
      </c>
      <c r="H432">
        <f>IFERROR(_xlfn.XLOOKUP(D432,'ITEM MASTER'!$A:$A,'ITEM MASTER'!$I:$I,"")*IF(F432="CARTON",_xlfn.XLOOKUP(D432,'ITEM MASTER'!$A:$A,'ITEM MASTER'!$H:$H,1),1),"")</f>
        <v>0</v>
      </c>
      <c r="I432">
        <f>IF(OR(C432="PURCHASE",C432="OPENING"),G432*IF(F432="CARTON",_xlfn.XLOOKUP(D432,'ITEM MASTER'!$A:$A,'ITEM MASTER'!$H:$H,1),1),0)</f>
        <v>0</v>
      </c>
      <c r="J432">
        <f>IF(C432="SALE",G432*IF(F432="CARTON",_xlfn.XLOOKUP(D432,'ITEM MASTER'!$A:$A,'ITEM MASTER'!$H:$H,1),1),0)</f>
        <v>0</v>
      </c>
      <c r="K432">
        <f>SUMIFS($I$2:I432,$D$2:D432,D432)-SUMIFS($J$2:J432,$D$2:D432,D432)</f>
        <v>0</v>
      </c>
    </row>
    <row r="433" spans="5:11" x14ac:dyDescent="0.3">
      <c r="E433">
        <f>IFERROR(_xlfn.XLOOKUP(D433,'ITEM MASTER'!$A:$A,'ITEM MASTER'!$B:$B,""),"")</f>
        <v>0</v>
      </c>
      <c r="F433" t="s">
        <v>44</v>
      </c>
      <c r="H433">
        <f>IFERROR(_xlfn.XLOOKUP(D433,'ITEM MASTER'!$A:$A,'ITEM MASTER'!$I:$I,"")*IF(F433="CARTON",_xlfn.XLOOKUP(D433,'ITEM MASTER'!$A:$A,'ITEM MASTER'!$H:$H,1),1),"")</f>
        <v>0</v>
      </c>
      <c r="I433">
        <f>IF(OR(C433="PURCHASE",C433="OPENING"),G433*IF(F433="CARTON",_xlfn.XLOOKUP(D433,'ITEM MASTER'!$A:$A,'ITEM MASTER'!$H:$H,1),1),0)</f>
        <v>0</v>
      </c>
      <c r="J433">
        <f>IF(C433="SALE",G433*IF(F433="CARTON",_xlfn.XLOOKUP(D433,'ITEM MASTER'!$A:$A,'ITEM MASTER'!$H:$H,1),1),0)</f>
        <v>0</v>
      </c>
      <c r="K433">
        <f>SUMIFS($I$2:I433,$D$2:D433,D433)-SUMIFS($J$2:J433,$D$2:D433,D433)</f>
        <v>0</v>
      </c>
    </row>
    <row r="434" spans="5:11" x14ac:dyDescent="0.3">
      <c r="E434">
        <f>IFERROR(_xlfn.XLOOKUP(D434,'ITEM MASTER'!$A:$A,'ITEM MASTER'!$B:$B,""),"")</f>
        <v>0</v>
      </c>
      <c r="F434" t="s">
        <v>44</v>
      </c>
      <c r="H434">
        <f>IFERROR(_xlfn.XLOOKUP(D434,'ITEM MASTER'!$A:$A,'ITEM MASTER'!$I:$I,"")*IF(F434="CARTON",_xlfn.XLOOKUP(D434,'ITEM MASTER'!$A:$A,'ITEM MASTER'!$H:$H,1),1),"")</f>
        <v>0</v>
      </c>
      <c r="I434">
        <f>IF(OR(C434="PURCHASE",C434="OPENING"),G434*IF(F434="CARTON",_xlfn.XLOOKUP(D434,'ITEM MASTER'!$A:$A,'ITEM MASTER'!$H:$H,1),1),0)</f>
        <v>0</v>
      </c>
      <c r="J434">
        <f>IF(C434="SALE",G434*IF(F434="CARTON",_xlfn.XLOOKUP(D434,'ITEM MASTER'!$A:$A,'ITEM MASTER'!$H:$H,1),1),0)</f>
        <v>0</v>
      </c>
      <c r="K434">
        <f>SUMIFS($I$2:I434,$D$2:D434,D434)-SUMIFS($J$2:J434,$D$2:D434,D434)</f>
        <v>0</v>
      </c>
    </row>
    <row r="435" spans="5:11" x14ac:dyDescent="0.3">
      <c r="E435">
        <f>IFERROR(_xlfn.XLOOKUP(D435,'ITEM MASTER'!$A:$A,'ITEM MASTER'!$B:$B,""),"")</f>
        <v>0</v>
      </c>
      <c r="F435" t="s">
        <v>44</v>
      </c>
      <c r="H435">
        <f>IFERROR(_xlfn.XLOOKUP(D435,'ITEM MASTER'!$A:$A,'ITEM MASTER'!$I:$I,"")*IF(F435="CARTON",_xlfn.XLOOKUP(D435,'ITEM MASTER'!$A:$A,'ITEM MASTER'!$H:$H,1),1),"")</f>
        <v>0</v>
      </c>
      <c r="I435">
        <f>IF(OR(C435="PURCHASE",C435="OPENING"),G435*IF(F435="CARTON",_xlfn.XLOOKUP(D435,'ITEM MASTER'!$A:$A,'ITEM MASTER'!$H:$H,1),1),0)</f>
        <v>0</v>
      </c>
      <c r="J435">
        <f>IF(C435="SALE",G435*IF(F435="CARTON",_xlfn.XLOOKUP(D435,'ITEM MASTER'!$A:$A,'ITEM MASTER'!$H:$H,1),1),0)</f>
        <v>0</v>
      </c>
      <c r="K435">
        <f>SUMIFS($I$2:I435,$D$2:D435,D435)-SUMIFS($J$2:J435,$D$2:D435,D435)</f>
        <v>0</v>
      </c>
    </row>
    <row r="436" spans="5:11" x14ac:dyDescent="0.3">
      <c r="E436">
        <f>IFERROR(_xlfn.XLOOKUP(D436,'ITEM MASTER'!$A:$A,'ITEM MASTER'!$B:$B,""),"")</f>
        <v>0</v>
      </c>
      <c r="F436" t="s">
        <v>44</v>
      </c>
      <c r="H436">
        <f>IFERROR(_xlfn.XLOOKUP(D436,'ITEM MASTER'!$A:$A,'ITEM MASTER'!$I:$I,"")*IF(F436="CARTON",_xlfn.XLOOKUP(D436,'ITEM MASTER'!$A:$A,'ITEM MASTER'!$H:$H,1),1),"")</f>
        <v>0</v>
      </c>
      <c r="I436">
        <f>IF(OR(C436="PURCHASE",C436="OPENING"),G436*IF(F436="CARTON",_xlfn.XLOOKUP(D436,'ITEM MASTER'!$A:$A,'ITEM MASTER'!$H:$H,1),1),0)</f>
        <v>0</v>
      </c>
      <c r="J436">
        <f>IF(C436="SALE",G436*IF(F436="CARTON",_xlfn.XLOOKUP(D436,'ITEM MASTER'!$A:$A,'ITEM MASTER'!$H:$H,1),1),0)</f>
        <v>0</v>
      </c>
      <c r="K436">
        <f>SUMIFS($I$2:I436,$D$2:D436,D436)-SUMIFS($J$2:J436,$D$2:D436,D436)</f>
        <v>0</v>
      </c>
    </row>
    <row r="437" spans="5:11" x14ac:dyDescent="0.3">
      <c r="E437">
        <f>IFERROR(_xlfn.XLOOKUP(D437,'ITEM MASTER'!$A:$A,'ITEM MASTER'!$B:$B,""),"")</f>
        <v>0</v>
      </c>
      <c r="F437" t="s">
        <v>44</v>
      </c>
      <c r="H437">
        <f>IFERROR(_xlfn.XLOOKUP(D437,'ITEM MASTER'!$A:$A,'ITEM MASTER'!$I:$I,"")*IF(F437="CARTON",_xlfn.XLOOKUP(D437,'ITEM MASTER'!$A:$A,'ITEM MASTER'!$H:$H,1),1),"")</f>
        <v>0</v>
      </c>
      <c r="I437">
        <f>IF(OR(C437="PURCHASE",C437="OPENING"),G437*IF(F437="CARTON",_xlfn.XLOOKUP(D437,'ITEM MASTER'!$A:$A,'ITEM MASTER'!$H:$H,1),1),0)</f>
        <v>0</v>
      </c>
      <c r="J437">
        <f>IF(C437="SALE",G437*IF(F437="CARTON",_xlfn.XLOOKUP(D437,'ITEM MASTER'!$A:$A,'ITEM MASTER'!$H:$H,1),1),0)</f>
        <v>0</v>
      </c>
      <c r="K437">
        <f>SUMIFS($I$2:I437,$D$2:D437,D437)-SUMIFS($J$2:J437,$D$2:D437,D437)</f>
        <v>0</v>
      </c>
    </row>
    <row r="438" spans="5:11" x14ac:dyDescent="0.3">
      <c r="E438">
        <f>IFERROR(_xlfn.XLOOKUP(D438,'ITEM MASTER'!$A:$A,'ITEM MASTER'!$B:$B,""),"")</f>
        <v>0</v>
      </c>
      <c r="F438" t="s">
        <v>44</v>
      </c>
      <c r="H438">
        <f>IFERROR(_xlfn.XLOOKUP(D438,'ITEM MASTER'!$A:$A,'ITEM MASTER'!$I:$I,"")*IF(F438="CARTON",_xlfn.XLOOKUP(D438,'ITEM MASTER'!$A:$A,'ITEM MASTER'!$H:$H,1),1),"")</f>
        <v>0</v>
      </c>
      <c r="I438">
        <f>IF(OR(C438="PURCHASE",C438="OPENING"),G438*IF(F438="CARTON",_xlfn.XLOOKUP(D438,'ITEM MASTER'!$A:$A,'ITEM MASTER'!$H:$H,1),1),0)</f>
        <v>0</v>
      </c>
      <c r="J438">
        <f>IF(C438="SALE",G438*IF(F438="CARTON",_xlfn.XLOOKUP(D438,'ITEM MASTER'!$A:$A,'ITEM MASTER'!$H:$H,1),1),0)</f>
        <v>0</v>
      </c>
      <c r="K438">
        <f>SUMIFS($I$2:I438,$D$2:D438,D438)-SUMIFS($J$2:J438,$D$2:D438,D438)</f>
        <v>0</v>
      </c>
    </row>
    <row r="439" spans="5:11" x14ac:dyDescent="0.3">
      <c r="E439">
        <f>IFERROR(_xlfn.XLOOKUP(D439,'ITEM MASTER'!$A:$A,'ITEM MASTER'!$B:$B,""),"")</f>
        <v>0</v>
      </c>
      <c r="F439" t="s">
        <v>44</v>
      </c>
      <c r="H439">
        <f>IFERROR(_xlfn.XLOOKUP(D439,'ITEM MASTER'!$A:$A,'ITEM MASTER'!$I:$I,"")*IF(F439="CARTON",_xlfn.XLOOKUP(D439,'ITEM MASTER'!$A:$A,'ITEM MASTER'!$H:$H,1),1),"")</f>
        <v>0</v>
      </c>
      <c r="I439">
        <f>IF(OR(C439="PURCHASE",C439="OPENING"),G439*IF(F439="CARTON",_xlfn.XLOOKUP(D439,'ITEM MASTER'!$A:$A,'ITEM MASTER'!$H:$H,1),1),0)</f>
        <v>0</v>
      </c>
      <c r="J439">
        <f>IF(C439="SALE",G439*IF(F439="CARTON",_xlfn.XLOOKUP(D439,'ITEM MASTER'!$A:$A,'ITEM MASTER'!$H:$H,1),1),0)</f>
        <v>0</v>
      </c>
      <c r="K439">
        <f>SUMIFS($I$2:I439,$D$2:D439,D439)-SUMIFS($J$2:J439,$D$2:D439,D439)</f>
        <v>0</v>
      </c>
    </row>
    <row r="440" spans="5:11" x14ac:dyDescent="0.3">
      <c r="E440">
        <f>IFERROR(_xlfn.XLOOKUP(D440,'ITEM MASTER'!$A:$A,'ITEM MASTER'!$B:$B,""),"")</f>
        <v>0</v>
      </c>
      <c r="F440" t="s">
        <v>44</v>
      </c>
      <c r="H440">
        <f>IFERROR(_xlfn.XLOOKUP(D440,'ITEM MASTER'!$A:$A,'ITEM MASTER'!$I:$I,"")*IF(F440="CARTON",_xlfn.XLOOKUP(D440,'ITEM MASTER'!$A:$A,'ITEM MASTER'!$H:$H,1),1),"")</f>
        <v>0</v>
      </c>
      <c r="I440">
        <f>IF(OR(C440="PURCHASE",C440="OPENING"),G440*IF(F440="CARTON",_xlfn.XLOOKUP(D440,'ITEM MASTER'!$A:$A,'ITEM MASTER'!$H:$H,1),1),0)</f>
        <v>0</v>
      </c>
      <c r="J440">
        <f>IF(C440="SALE",G440*IF(F440="CARTON",_xlfn.XLOOKUP(D440,'ITEM MASTER'!$A:$A,'ITEM MASTER'!$H:$H,1),1),0)</f>
        <v>0</v>
      </c>
      <c r="K440">
        <f>SUMIFS($I$2:I440,$D$2:D440,D440)-SUMIFS($J$2:J440,$D$2:D440,D440)</f>
        <v>0</v>
      </c>
    </row>
    <row r="441" spans="5:11" x14ac:dyDescent="0.3">
      <c r="E441">
        <f>IFERROR(_xlfn.XLOOKUP(D441,'ITEM MASTER'!$A:$A,'ITEM MASTER'!$B:$B,""),"")</f>
        <v>0</v>
      </c>
      <c r="F441" t="s">
        <v>44</v>
      </c>
      <c r="H441">
        <f>IFERROR(_xlfn.XLOOKUP(D441,'ITEM MASTER'!$A:$A,'ITEM MASTER'!$I:$I,"")*IF(F441="CARTON",_xlfn.XLOOKUP(D441,'ITEM MASTER'!$A:$A,'ITEM MASTER'!$H:$H,1),1),"")</f>
        <v>0</v>
      </c>
      <c r="I441">
        <f>IF(OR(C441="PURCHASE",C441="OPENING"),G441*IF(F441="CARTON",_xlfn.XLOOKUP(D441,'ITEM MASTER'!$A:$A,'ITEM MASTER'!$H:$H,1),1),0)</f>
        <v>0</v>
      </c>
      <c r="J441">
        <f>IF(C441="SALE",G441*IF(F441="CARTON",_xlfn.XLOOKUP(D441,'ITEM MASTER'!$A:$A,'ITEM MASTER'!$H:$H,1),1),0)</f>
        <v>0</v>
      </c>
      <c r="K441">
        <f>SUMIFS($I$2:I441,$D$2:D441,D441)-SUMIFS($J$2:J441,$D$2:D441,D441)</f>
        <v>0</v>
      </c>
    </row>
    <row r="442" spans="5:11" x14ac:dyDescent="0.3">
      <c r="E442">
        <f>IFERROR(_xlfn.XLOOKUP(D442,'ITEM MASTER'!$A:$A,'ITEM MASTER'!$B:$B,""),"")</f>
        <v>0</v>
      </c>
      <c r="F442" t="s">
        <v>44</v>
      </c>
      <c r="H442">
        <f>IFERROR(_xlfn.XLOOKUP(D442,'ITEM MASTER'!$A:$A,'ITEM MASTER'!$I:$I,"")*IF(F442="CARTON",_xlfn.XLOOKUP(D442,'ITEM MASTER'!$A:$A,'ITEM MASTER'!$H:$H,1),1),"")</f>
        <v>0</v>
      </c>
      <c r="I442">
        <f>IF(OR(C442="PURCHASE",C442="OPENING"),G442*IF(F442="CARTON",_xlfn.XLOOKUP(D442,'ITEM MASTER'!$A:$A,'ITEM MASTER'!$H:$H,1),1),0)</f>
        <v>0</v>
      </c>
      <c r="J442">
        <f>IF(C442="SALE",G442*IF(F442="CARTON",_xlfn.XLOOKUP(D442,'ITEM MASTER'!$A:$A,'ITEM MASTER'!$H:$H,1),1),0)</f>
        <v>0</v>
      </c>
      <c r="K442">
        <f>SUMIFS($I$2:I442,$D$2:D442,D442)-SUMIFS($J$2:J442,$D$2:D442,D442)</f>
        <v>0</v>
      </c>
    </row>
    <row r="443" spans="5:11" x14ac:dyDescent="0.3">
      <c r="E443">
        <f>IFERROR(_xlfn.XLOOKUP(D443,'ITEM MASTER'!$A:$A,'ITEM MASTER'!$B:$B,""),"")</f>
        <v>0</v>
      </c>
      <c r="F443" t="s">
        <v>44</v>
      </c>
      <c r="H443">
        <f>IFERROR(_xlfn.XLOOKUP(D443,'ITEM MASTER'!$A:$A,'ITEM MASTER'!$I:$I,"")*IF(F443="CARTON",_xlfn.XLOOKUP(D443,'ITEM MASTER'!$A:$A,'ITEM MASTER'!$H:$H,1),1),"")</f>
        <v>0</v>
      </c>
      <c r="I443">
        <f>IF(OR(C443="PURCHASE",C443="OPENING"),G443*IF(F443="CARTON",_xlfn.XLOOKUP(D443,'ITEM MASTER'!$A:$A,'ITEM MASTER'!$H:$H,1),1),0)</f>
        <v>0</v>
      </c>
      <c r="J443">
        <f>IF(C443="SALE",G443*IF(F443="CARTON",_xlfn.XLOOKUP(D443,'ITEM MASTER'!$A:$A,'ITEM MASTER'!$H:$H,1),1),0)</f>
        <v>0</v>
      </c>
      <c r="K443">
        <f>SUMIFS($I$2:I443,$D$2:D443,D443)-SUMIFS($J$2:J443,$D$2:D443,D443)</f>
        <v>0</v>
      </c>
    </row>
    <row r="444" spans="5:11" x14ac:dyDescent="0.3">
      <c r="E444">
        <f>IFERROR(_xlfn.XLOOKUP(D444,'ITEM MASTER'!$A:$A,'ITEM MASTER'!$B:$B,""),"")</f>
        <v>0</v>
      </c>
      <c r="F444" t="s">
        <v>44</v>
      </c>
      <c r="H444">
        <f>IFERROR(_xlfn.XLOOKUP(D444,'ITEM MASTER'!$A:$A,'ITEM MASTER'!$I:$I,"")*IF(F444="CARTON",_xlfn.XLOOKUP(D444,'ITEM MASTER'!$A:$A,'ITEM MASTER'!$H:$H,1),1),"")</f>
        <v>0</v>
      </c>
      <c r="I444">
        <f>IF(OR(C444="PURCHASE",C444="OPENING"),G444*IF(F444="CARTON",_xlfn.XLOOKUP(D444,'ITEM MASTER'!$A:$A,'ITEM MASTER'!$H:$H,1),1),0)</f>
        <v>0</v>
      </c>
      <c r="J444">
        <f>IF(C444="SALE",G444*IF(F444="CARTON",_xlfn.XLOOKUP(D444,'ITEM MASTER'!$A:$A,'ITEM MASTER'!$H:$H,1),1),0)</f>
        <v>0</v>
      </c>
      <c r="K444">
        <f>SUMIFS($I$2:I444,$D$2:D444,D444)-SUMIFS($J$2:J444,$D$2:D444,D444)</f>
        <v>0</v>
      </c>
    </row>
    <row r="445" spans="5:11" x14ac:dyDescent="0.3">
      <c r="E445">
        <f>IFERROR(_xlfn.XLOOKUP(D445,'ITEM MASTER'!$A:$A,'ITEM MASTER'!$B:$B,""),"")</f>
        <v>0</v>
      </c>
      <c r="F445" t="s">
        <v>44</v>
      </c>
      <c r="H445">
        <f>IFERROR(_xlfn.XLOOKUP(D445,'ITEM MASTER'!$A:$A,'ITEM MASTER'!$I:$I,"")*IF(F445="CARTON",_xlfn.XLOOKUP(D445,'ITEM MASTER'!$A:$A,'ITEM MASTER'!$H:$H,1),1),"")</f>
        <v>0</v>
      </c>
      <c r="I445">
        <f>IF(OR(C445="PURCHASE",C445="OPENING"),G445*IF(F445="CARTON",_xlfn.XLOOKUP(D445,'ITEM MASTER'!$A:$A,'ITEM MASTER'!$H:$H,1),1),0)</f>
        <v>0</v>
      </c>
      <c r="J445">
        <f>IF(C445="SALE",G445*IF(F445="CARTON",_xlfn.XLOOKUP(D445,'ITEM MASTER'!$A:$A,'ITEM MASTER'!$H:$H,1),1),0)</f>
        <v>0</v>
      </c>
      <c r="K445">
        <f>SUMIFS($I$2:I445,$D$2:D445,D445)-SUMIFS($J$2:J445,$D$2:D445,D445)</f>
        <v>0</v>
      </c>
    </row>
    <row r="446" spans="5:11" x14ac:dyDescent="0.3">
      <c r="E446">
        <f>IFERROR(_xlfn.XLOOKUP(D446,'ITEM MASTER'!$A:$A,'ITEM MASTER'!$B:$B,""),"")</f>
        <v>0</v>
      </c>
      <c r="F446" t="s">
        <v>44</v>
      </c>
      <c r="H446">
        <f>IFERROR(_xlfn.XLOOKUP(D446,'ITEM MASTER'!$A:$A,'ITEM MASTER'!$I:$I,"")*IF(F446="CARTON",_xlfn.XLOOKUP(D446,'ITEM MASTER'!$A:$A,'ITEM MASTER'!$H:$H,1),1),"")</f>
        <v>0</v>
      </c>
      <c r="I446">
        <f>IF(OR(C446="PURCHASE",C446="OPENING"),G446*IF(F446="CARTON",_xlfn.XLOOKUP(D446,'ITEM MASTER'!$A:$A,'ITEM MASTER'!$H:$H,1),1),0)</f>
        <v>0</v>
      </c>
      <c r="J446">
        <f>IF(C446="SALE",G446*IF(F446="CARTON",_xlfn.XLOOKUP(D446,'ITEM MASTER'!$A:$A,'ITEM MASTER'!$H:$H,1),1),0)</f>
        <v>0</v>
      </c>
      <c r="K446">
        <f>SUMIFS($I$2:I446,$D$2:D446,D446)-SUMIFS($J$2:J446,$D$2:D446,D446)</f>
        <v>0</v>
      </c>
    </row>
    <row r="447" spans="5:11" x14ac:dyDescent="0.3">
      <c r="E447">
        <f>IFERROR(_xlfn.XLOOKUP(D447,'ITEM MASTER'!$A:$A,'ITEM MASTER'!$B:$B,""),"")</f>
        <v>0</v>
      </c>
      <c r="F447" t="s">
        <v>44</v>
      </c>
      <c r="H447">
        <f>IFERROR(_xlfn.XLOOKUP(D447,'ITEM MASTER'!$A:$A,'ITEM MASTER'!$I:$I,"")*IF(F447="CARTON",_xlfn.XLOOKUP(D447,'ITEM MASTER'!$A:$A,'ITEM MASTER'!$H:$H,1),1),"")</f>
        <v>0</v>
      </c>
      <c r="I447">
        <f>IF(OR(C447="PURCHASE",C447="OPENING"),G447*IF(F447="CARTON",_xlfn.XLOOKUP(D447,'ITEM MASTER'!$A:$A,'ITEM MASTER'!$H:$H,1),1),0)</f>
        <v>0</v>
      </c>
      <c r="J447">
        <f>IF(C447="SALE",G447*IF(F447="CARTON",_xlfn.XLOOKUP(D447,'ITEM MASTER'!$A:$A,'ITEM MASTER'!$H:$H,1),1),0)</f>
        <v>0</v>
      </c>
      <c r="K447">
        <f>SUMIFS($I$2:I447,$D$2:D447,D447)-SUMIFS($J$2:J447,$D$2:D447,D447)</f>
        <v>0</v>
      </c>
    </row>
    <row r="448" spans="5:11" x14ac:dyDescent="0.3">
      <c r="E448">
        <f>IFERROR(_xlfn.XLOOKUP(D448,'ITEM MASTER'!$A:$A,'ITEM MASTER'!$B:$B,""),"")</f>
        <v>0</v>
      </c>
      <c r="F448" t="s">
        <v>44</v>
      </c>
      <c r="H448">
        <f>IFERROR(_xlfn.XLOOKUP(D448,'ITEM MASTER'!$A:$A,'ITEM MASTER'!$I:$I,"")*IF(F448="CARTON",_xlfn.XLOOKUP(D448,'ITEM MASTER'!$A:$A,'ITEM MASTER'!$H:$H,1),1),"")</f>
        <v>0</v>
      </c>
      <c r="I448">
        <f>IF(OR(C448="PURCHASE",C448="OPENING"),G448*IF(F448="CARTON",_xlfn.XLOOKUP(D448,'ITEM MASTER'!$A:$A,'ITEM MASTER'!$H:$H,1),1),0)</f>
        <v>0</v>
      </c>
      <c r="J448">
        <f>IF(C448="SALE",G448*IF(F448="CARTON",_xlfn.XLOOKUP(D448,'ITEM MASTER'!$A:$A,'ITEM MASTER'!$H:$H,1),1),0)</f>
        <v>0</v>
      </c>
      <c r="K448">
        <f>SUMIFS($I$2:I448,$D$2:D448,D448)-SUMIFS($J$2:J448,$D$2:D448,D448)</f>
        <v>0</v>
      </c>
    </row>
    <row r="449" spans="5:11" x14ac:dyDescent="0.3">
      <c r="E449">
        <f>IFERROR(_xlfn.XLOOKUP(D449,'ITEM MASTER'!$A:$A,'ITEM MASTER'!$B:$B,""),"")</f>
        <v>0</v>
      </c>
      <c r="F449" t="s">
        <v>44</v>
      </c>
      <c r="H449">
        <f>IFERROR(_xlfn.XLOOKUP(D449,'ITEM MASTER'!$A:$A,'ITEM MASTER'!$I:$I,"")*IF(F449="CARTON",_xlfn.XLOOKUP(D449,'ITEM MASTER'!$A:$A,'ITEM MASTER'!$H:$H,1),1),"")</f>
        <v>0</v>
      </c>
      <c r="I449">
        <f>IF(OR(C449="PURCHASE",C449="OPENING"),G449*IF(F449="CARTON",_xlfn.XLOOKUP(D449,'ITEM MASTER'!$A:$A,'ITEM MASTER'!$H:$H,1),1),0)</f>
        <v>0</v>
      </c>
      <c r="J449">
        <f>IF(C449="SALE",G449*IF(F449="CARTON",_xlfn.XLOOKUP(D449,'ITEM MASTER'!$A:$A,'ITEM MASTER'!$H:$H,1),1),0)</f>
        <v>0</v>
      </c>
      <c r="K449">
        <f>SUMIFS($I$2:I449,$D$2:D449,D449)-SUMIFS($J$2:J449,$D$2:D449,D449)</f>
        <v>0</v>
      </c>
    </row>
    <row r="450" spans="5:11" x14ac:dyDescent="0.3">
      <c r="E450">
        <f>IFERROR(_xlfn.XLOOKUP(D450,'ITEM MASTER'!$A:$A,'ITEM MASTER'!$B:$B,""),"")</f>
        <v>0</v>
      </c>
      <c r="F450" t="s">
        <v>44</v>
      </c>
      <c r="H450">
        <f>IFERROR(_xlfn.XLOOKUP(D450,'ITEM MASTER'!$A:$A,'ITEM MASTER'!$I:$I,"")*IF(F450="CARTON",_xlfn.XLOOKUP(D450,'ITEM MASTER'!$A:$A,'ITEM MASTER'!$H:$H,1),1),"")</f>
        <v>0</v>
      </c>
      <c r="I450">
        <f>IF(OR(C450="PURCHASE",C450="OPENING"),G450*IF(F450="CARTON",_xlfn.XLOOKUP(D450,'ITEM MASTER'!$A:$A,'ITEM MASTER'!$H:$H,1),1),0)</f>
        <v>0</v>
      </c>
      <c r="J450">
        <f>IF(C450="SALE",G450*IF(F450="CARTON",_xlfn.XLOOKUP(D450,'ITEM MASTER'!$A:$A,'ITEM MASTER'!$H:$H,1),1),0)</f>
        <v>0</v>
      </c>
      <c r="K450">
        <f>SUMIFS($I$2:I450,$D$2:D450,D450)-SUMIFS($J$2:J450,$D$2:D450,D450)</f>
        <v>0</v>
      </c>
    </row>
    <row r="451" spans="5:11" x14ac:dyDescent="0.3">
      <c r="E451">
        <f>IFERROR(_xlfn.XLOOKUP(D451,'ITEM MASTER'!$A:$A,'ITEM MASTER'!$B:$B,""),"")</f>
        <v>0</v>
      </c>
      <c r="F451" t="s">
        <v>44</v>
      </c>
      <c r="H451">
        <f>IFERROR(_xlfn.XLOOKUP(D451,'ITEM MASTER'!$A:$A,'ITEM MASTER'!$I:$I,"")*IF(F451="CARTON",_xlfn.XLOOKUP(D451,'ITEM MASTER'!$A:$A,'ITEM MASTER'!$H:$H,1),1),"")</f>
        <v>0</v>
      </c>
      <c r="I451">
        <f>IF(OR(C451="PURCHASE",C451="OPENING"),G451*IF(F451="CARTON",_xlfn.XLOOKUP(D451,'ITEM MASTER'!$A:$A,'ITEM MASTER'!$H:$H,1),1),0)</f>
        <v>0</v>
      </c>
      <c r="J451">
        <f>IF(C451="SALE",G451*IF(F451="CARTON",_xlfn.XLOOKUP(D451,'ITEM MASTER'!$A:$A,'ITEM MASTER'!$H:$H,1),1),0)</f>
        <v>0</v>
      </c>
      <c r="K451">
        <f>SUMIFS($I$2:I451,$D$2:D451,D451)-SUMIFS($J$2:J451,$D$2:D451,D451)</f>
        <v>0</v>
      </c>
    </row>
    <row r="452" spans="5:11" x14ac:dyDescent="0.3">
      <c r="E452">
        <f>IFERROR(_xlfn.XLOOKUP(D452,'ITEM MASTER'!$A:$A,'ITEM MASTER'!$B:$B,""),"")</f>
        <v>0</v>
      </c>
      <c r="F452" t="s">
        <v>44</v>
      </c>
      <c r="H452">
        <f>IFERROR(_xlfn.XLOOKUP(D452,'ITEM MASTER'!$A:$A,'ITEM MASTER'!$I:$I,"")*IF(F452="CARTON",_xlfn.XLOOKUP(D452,'ITEM MASTER'!$A:$A,'ITEM MASTER'!$H:$H,1),1),"")</f>
        <v>0</v>
      </c>
      <c r="I452">
        <f>IF(OR(C452="PURCHASE",C452="OPENING"),G452*IF(F452="CARTON",_xlfn.XLOOKUP(D452,'ITEM MASTER'!$A:$A,'ITEM MASTER'!$H:$H,1),1),0)</f>
        <v>0</v>
      </c>
      <c r="J452">
        <f>IF(C452="SALE",G452*IF(F452="CARTON",_xlfn.XLOOKUP(D452,'ITEM MASTER'!$A:$A,'ITEM MASTER'!$H:$H,1),1),0)</f>
        <v>0</v>
      </c>
      <c r="K452">
        <f>SUMIFS($I$2:I452,$D$2:D452,D452)-SUMIFS($J$2:J452,$D$2:D452,D452)</f>
        <v>0</v>
      </c>
    </row>
    <row r="453" spans="5:11" x14ac:dyDescent="0.3">
      <c r="E453">
        <f>IFERROR(_xlfn.XLOOKUP(D453,'ITEM MASTER'!$A:$A,'ITEM MASTER'!$B:$B,""),"")</f>
        <v>0</v>
      </c>
      <c r="F453" t="s">
        <v>44</v>
      </c>
      <c r="H453">
        <f>IFERROR(_xlfn.XLOOKUP(D453,'ITEM MASTER'!$A:$A,'ITEM MASTER'!$I:$I,"")*IF(F453="CARTON",_xlfn.XLOOKUP(D453,'ITEM MASTER'!$A:$A,'ITEM MASTER'!$H:$H,1),1),"")</f>
        <v>0</v>
      </c>
      <c r="I453">
        <f>IF(OR(C453="PURCHASE",C453="OPENING"),G453*IF(F453="CARTON",_xlfn.XLOOKUP(D453,'ITEM MASTER'!$A:$A,'ITEM MASTER'!$H:$H,1),1),0)</f>
        <v>0</v>
      </c>
      <c r="J453">
        <f>IF(C453="SALE",G453*IF(F453="CARTON",_xlfn.XLOOKUP(D453,'ITEM MASTER'!$A:$A,'ITEM MASTER'!$H:$H,1),1),0)</f>
        <v>0</v>
      </c>
      <c r="K453">
        <f>SUMIFS($I$2:I453,$D$2:D453,D453)-SUMIFS($J$2:J453,$D$2:D453,D453)</f>
        <v>0</v>
      </c>
    </row>
    <row r="454" spans="5:11" x14ac:dyDescent="0.3">
      <c r="E454">
        <f>IFERROR(_xlfn.XLOOKUP(D454,'ITEM MASTER'!$A:$A,'ITEM MASTER'!$B:$B,""),"")</f>
        <v>0</v>
      </c>
      <c r="F454" t="s">
        <v>44</v>
      </c>
      <c r="H454">
        <f>IFERROR(_xlfn.XLOOKUP(D454,'ITEM MASTER'!$A:$A,'ITEM MASTER'!$I:$I,"")*IF(F454="CARTON",_xlfn.XLOOKUP(D454,'ITEM MASTER'!$A:$A,'ITEM MASTER'!$H:$H,1),1),"")</f>
        <v>0</v>
      </c>
      <c r="I454">
        <f>IF(OR(C454="PURCHASE",C454="OPENING"),G454*IF(F454="CARTON",_xlfn.XLOOKUP(D454,'ITEM MASTER'!$A:$A,'ITEM MASTER'!$H:$H,1),1),0)</f>
        <v>0</v>
      </c>
      <c r="J454">
        <f>IF(C454="SALE",G454*IF(F454="CARTON",_xlfn.XLOOKUP(D454,'ITEM MASTER'!$A:$A,'ITEM MASTER'!$H:$H,1),1),0)</f>
        <v>0</v>
      </c>
      <c r="K454">
        <f>SUMIFS($I$2:I454,$D$2:D454,D454)-SUMIFS($J$2:J454,$D$2:D454,D454)</f>
        <v>0</v>
      </c>
    </row>
    <row r="455" spans="5:11" x14ac:dyDescent="0.3">
      <c r="E455">
        <f>IFERROR(_xlfn.XLOOKUP(D455,'ITEM MASTER'!$A:$A,'ITEM MASTER'!$B:$B,""),"")</f>
        <v>0</v>
      </c>
      <c r="F455" t="s">
        <v>44</v>
      </c>
      <c r="H455">
        <f>IFERROR(_xlfn.XLOOKUP(D455,'ITEM MASTER'!$A:$A,'ITEM MASTER'!$I:$I,"")*IF(F455="CARTON",_xlfn.XLOOKUP(D455,'ITEM MASTER'!$A:$A,'ITEM MASTER'!$H:$H,1),1),"")</f>
        <v>0</v>
      </c>
      <c r="I455">
        <f>IF(OR(C455="PURCHASE",C455="OPENING"),G455*IF(F455="CARTON",_xlfn.XLOOKUP(D455,'ITEM MASTER'!$A:$A,'ITEM MASTER'!$H:$H,1),1),0)</f>
        <v>0</v>
      </c>
      <c r="J455">
        <f>IF(C455="SALE",G455*IF(F455="CARTON",_xlfn.XLOOKUP(D455,'ITEM MASTER'!$A:$A,'ITEM MASTER'!$H:$H,1),1),0)</f>
        <v>0</v>
      </c>
      <c r="K455">
        <f>SUMIFS($I$2:I455,$D$2:D455,D455)-SUMIFS($J$2:J455,$D$2:D455,D455)</f>
        <v>0</v>
      </c>
    </row>
    <row r="456" spans="5:11" x14ac:dyDescent="0.3">
      <c r="E456">
        <f>IFERROR(_xlfn.XLOOKUP(D456,'ITEM MASTER'!$A:$A,'ITEM MASTER'!$B:$B,""),"")</f>
        <v>0</v>
      </c>
      <c r="F456" t="s">
        <v>44</v>
      </c>
      <c r="H456">
        <f>IFERROR(_xlfn.XLOOKUP(D456,'ITEM MASTER'!$A:$A,'ITEM MASTER'!$I:$I,"")*IF(F456="CARTON",_xlfn.XLOOKUP(D456,'ITEM MASTER'!$A:$A,'ITEM MASTER'!$H:$H,1),1),"")</f>
        <v>0</v>
      </c>
      <c r="I456">
        <f>IF(OR(C456="PURCHASE",C456="OPENING"),G456*IF(F456="CARTON",_xlfn.XLOOKUP(D456,'ITEM MASTER'!$A:$A,'ITEM MASTER'!$H:$H,1),1),0)</f>
        <v>0</v>
      </c>
      <c r="J456">
        <f>IF(C456="SALE",G456*IF(F456="CARTON",_xlfn.XLOOKUP(D456,'ITEM MASTER'!$A:$A,'ITEM MASTER'!$H:$H,1),1),0)</f>
        <v>0</v>
      </c>
      <c r="K456">
        <f>SUMIFS($I$2:I456,$D$2:D456,D456)-SUMIFS($J$2:J456,$D$2:D456,D456)</f>
        <v>0</v>
      </c>
    </row>
    <row r="457" spans="5:11" x14ac:dyDescent="0.3">
      <c r="E457">
        <f>IFERROR(_xlfn.XLOOKUP(D457,'ITEM MASTER'!$A:$A,'ITEM MASTER'!$B:$B,""),"")</f>
        <v>0</v>
      </c>
      <c r="F457" t="s">
        <v>44</v>
      </c>
      <c r="H457">
        <f>IFERROR(_xlfn.XLOOKUP(D457,'ITEM MASTER'!$A:$A,'ITEM MASTER'!$I:$I,"")*IF(F457="CARTON",_xlfn.XLOOKUP(D457,'ITEM MASTER'!$A:$A,'ITEM MASTER'!$H:$H,1),1),"")</f>
        <v>0</v>
      </c>
      <c r="I457">
        <f>IF(OR(C457="PURCHASE",C457="OPENING"),G457*IF(F457="CARTON",_xlfn.XLOOKUP(D457,'ITEM MASTER'!$A:$A,'ITEM MASTER'!$H:$H,1),1),0)</f>
        <v>0</v>
      </c>
      <c r="J457">
        <f>IF(C457="SALE",G457*IF(F457="CARTON",_xlfn.XLOOKUP(D457,'ITEM MASTER'!$A:$A,'ITEM MASTER'!$H:$H,1),1),0)</f>
        <v>0</v>
      </c>
      <c r="K457">
        <f>SUMIFS($I$2:I457,$D$2:D457,D457)-SUMIFS($J$2:J457,$D$2:D457,D457)</f>
        <v>0</v>
      </c>
    </row>
    <row r="458" spans="5:11" x14ac:dyDescent="0.3">
      <c r="E458">
        <f>IFERROR(_xlfn.XLOOKUP(D458,'ITEM MASTER'!$A:$A,'ITEM MASTER'!$B:$B,""),"")</f>
        <v>0</v>
      </c>
      <c r="F458" t="s">
        <v>44</v>
      </c>
      <c r="H458">
        <f>IFERROR(_xlfn.XLOOKUP(D458,'ITEM MASTER'!$A:$A,'ITEM MASTER'!$I:$I,"")*IF(F458="CARTON",_xlfn.XLOOKUP(D458,'ITEM MASTER'!$A:$A,'ITEM MASTER'!$H:$H,1),1),"")</f>
        <v>0</v>
      </c>
      <c r="I458">
        <f>IF(OR(C458="PURCHASE",C458="OPENING"),G458*IF(F458="CARTON",_xlfn.XLOOKUP(D458,'ITEM MASTER'!$A:$A,'ITEM MASTER'!$H:$H,1),1),0)</f>
        <v>0</v>
      </c>
      <c r="J458">
        <f>IF(C458="SALE",G458*IF(F458="CARTON",_xlfn.XLOOKUP(D458,'ITEM MASTER'!$A:$A,'ITEM MASTER'!$H:$H,1),1),0)</f>
        <v>0</v>
      </c>
      <c r="K458">
        <f>SUMIFS($I$2:I458,$D$2:D458,D458)-SUMIFS($J$2:J458,$D$2:D458,D458)</f>
        <v>0</v>
      </c>
    </row>
    <row r="459" spans="5:11" x14ac:dyDescent="0.3">
      <c r="E459">
        <f>IFERROR(_xlfn.XLOOKUP(D459,'ITEM MASTER'!$A:$A,'ITEM MASTER'!$B:$B,""),"")</f>
        <v>0</v>
      </c>
      <c r="F459" t="s">
        <v>44</v>
      </c>
      <c r="H459">
        <f>IFERROR(_xlfn.XLOOKUP(D459,'ITEM MASTER'!$A:$A,'ITEM MASTER'!$I:$I,"")*IF(F459="CARTON",_xlfn.XLOOKUP(D459,'ITEM MASTER'!$A:$A,'ITEM MASTER'!$H:$H,1),1),"")</f>
        <v>0</v>
      </c>
      <c r="I459">
        <f>IF(OR(C459="PURCHASE",C459="OPENING"),G459*IF(F459="CARTON",_xlfn.XLOOKUP(D459,'ITEM MASTER'!$A:$A,'ITEM MASTER'!$H:$H,1),1),0)</f>
        <v>0</v>
      </c>
      <c r="J459">
        <f>IF(C459="SALE",G459*IF(F459="CARTON",_xlfn.XLOOKUP(D459,'ITEM MASTER'!$A:$A,'ITEM MASTER'!$H:$H,1),1),0)</f>
        <v>0</v>
      </c>
      <c r="K459">
        <f>SUMIFS($I$2:I459,$D$2:D459,D459)-SUMIFS($J$2:J459,$D$2:D459,D459)</f>
        <v>0</v>
      </c>
    </row>
    <row r="460" spans="5:11" x14ac:dyDescent="0.3">
      <c r="E460">
        <f>IFERROR(_xlfn.XLOOKUP(D460,'ITEM MASTER'!$A:$A,'ITEM MASTER'!$B:$B,""),"")</f>
        <v>0</v>
      </c>
      <c r="F460" t="s">
        <v>44</v>
      </c>
      <c r="H460">
        <f>IFERROR(_xlfn.XLOOKUP(D460,'ITEM MASTER'!$A:$A,'ITEM MASTER'!$I:$I,"")*IF(F460="CARTON",_xlfn.XLOOKUP(D460,'ITEM MASTER'!$A:$A,'ITEM MASTER'!$H:$H,1),1),"")</f>
        <v>0</v>
      </c>
      <c r="I460">
        <f>IF(OR(C460="PURCHASE",C460="OPENING"),G460*IF(F460="CARTON",_xlfn.XLOOKUP(D460,'ITEM MASTER'!$A:$A,'ITEM MASTER'!$H:$H,1),1),0)</f>
        <v>0</v>
      </c>
      <c r="J460">
        <f>IF(C460="SALE",G460*IF(F460="CARTON",_xlfn.XLOOKUP(D460,'ITEM MASTER'!$A:$A,'ITEM MASTER'!$H:$H,1),1),0)</f>
        <v>0</v>
      </c>
      <c r="K460">
        <f>SUMIFS($I$2:I460,$D$2:D460,D460)-SUMIFS($J$2:J460,$D$2:D460,D460)</f>
        <v>0</v>
      </c>
    </row>
    <row r="461" spans="5:11" x14ac:dyDescent="0.3">
      <c r="E461">
        <f>IFERROR(_xlfn.XLOOKUP(D461,'ITEM MASTER'!$A:$A,'ITEM MASTER'!$B:$B,""),"")</f>
        <v>0</v>
      </c>
      <c r="F461" t="s">
        <v>44</v>
      </c>
      <c r="H461">
        <f>IFERROR(_xlfn.XLOOKUP(D461,'ITEM MASTER'!$A:$A,'ITEM MASTER'!$I:$I,"")*IF(F461="CARTON",_xlfn.XLOOKUP(D461,'ITEM MASTER'!$A:$A,'ITEM MASTER'!$H:$H,1),1),"")</f>
        <v>0</v>
      </c>
      <c r="I461">
        <f>IF(OR(C461="PURCHASE",C461="OPENING"),G461*IF(F461="CARTON",_xlfn.XLOOKUP(D461,'ITEM MASTER'!$A:$A,'ITEM MASTER'!$H:$H,1),1),0)</f>
        <v>0</v>
      </c>
      <c r="J461">
        <f>IF(C461="SALE",G461*IF(F461="CARTON",_xlfn.XLOOKUP(D461,'ITEM MASTER'!$A:$A,'ITEM MASTER'!$H:$H,1),1),0)</f>
        <v>0</v>
      </c>
      <c r="K461">
        <f>SUMIFS($I$2:I461,$D$2:D461,D461)-SUMIFS($J$2:J461,$D$2:D461,D461)</f>
        <v>0</v>
      </c>
    </row>
    <row r="462" spans="5:11" x14ac:dyDescent="0.3">
      <c r="E462">
        <f>IFERROR(_xlfn.XLOOKUP(D462,'ITEM MASTER'!$A:$A,'ITEM MASTER'!$B:$B,""),"")</f>
        <v>0</v>
      </c>
      <c r="F462" t="s">
        <v>44</v>
      </c>
      <c r="H462">
        <f>IFERROR(_xlfn.XLOOKUP(D462,'ITEM MASTER'!$A:$A,'ITEM MASTER'!$I:$I,"")*IF(F462="CARTON",_xlfn.XLOOKUP(D462,'ITEM MASTER'!$A:$A,'ITEM MASTER'!$H:$H,1),1),"")</f>
        <v>0</v>
      </c>
      <c r="I462">
        <f>IF(OR(C462="PURCHASE",C462="OPENING"),G462*IF(F462="CARTON",_xlfn.XLOOKUP(D462,'ITEM MASTER'!$A:$A,'ITEM MASTER'!$H:$H,1),1),0)</f>
        <v>0</v>
      </c>
      <c r="J462">
        <f>IF(C462="SALE",G462*IF(F462="CARTON",_xlfn.XLOOKUP(D462,'ITEM MASTER'!$A:$A,'ITEM MASTER'!$H:$H,1),1),0)</f>
        <v>0</v>
      </c>
      <c r="K462">
        <f>SUMIFS($I$2:I462,$D$2:D462,D462)-SUMIFS($J$2:J462,$D$2:D462,D462)</f>
        <v>0</v>
      </c>
    </row>
    <row r="463" spans="5:11" x14ac:dyDescent="0.3">
      <c r="E463">
        <f>IFERROR(_xlfn.XLOOKUP(D463,'ITEM MASTER'!$A:$A,'ITEM MASTER'!$B:$B,""),"")</f>
        <v>0</v>
      </c>
      <c r="F463" t="s">
        <v>44</v>
      </c>
      <c r="H463">
        <f>IFERROR(_xlfn.XLOOKUP(D463,'ITEM MASTER'!$A:$A,'ITEM MASTER'!$I:$I,"")*IF(F463="CARTON",_xlfn.XLOOKUP(D463,'ITEM MASTER'!$A:$A,'ITEM MASTER'!$H:$H,1),1),"")</f>
        <v>0</v>
      </c>
      <c r="I463">
        <f>IF(OR(C463="PURCHASE",C463="OPENING"),G463*IF(F463="CARTON",_xlfn.XLOOKUP(D463,'ITEM MASTER'!$A:$A,'ITEM MASTER'!$H:$H,1),1),0)</f>
        <v>0</v>
      </c>
      <c r="J463">
        <f>IF(C463="SALE",G463*IF(F463="CARTON",_xlfn.XLOOKUP(D463,'ITEM MASTER'!$A:$A,'ITEM MASTER'!$H:$H,1),1),0)</f>
        <v>0</v>
      </c>
      <c r="K463">
        <f>SUMIFS($I$2:I463,$D$2:D463,D463)-SUMIFS($J$2:J463,$D$2:D463,D463)</f>
        <v>0</v>
      </c>
    </row>
    <row r="464" spans="5:11" x14ac:dyDescent="0.3">
      <c r="E464">
        <f>IFERROR(_xlfn.XLOOKUP(D464,'ITEM MASTER'!$A:$A,'ITEM MASTER'!$B:$B,""),"")</f>
        <v>0</v>
      </c>
      <c r="F464" t="s">
        <v>44</v>
      </c>
      <c r="H464">
        <f>IFERROR(_xlfn.XLOOKUP(D464,'ITEM MASTER'!$A:$A,'ITEM MASTER'!$I:$I,"")*IF(F464="CARTON",_xlfn.XLOOKUP(D464,'ITEM MASTER'!$A:$A,'ITEM MASTER'!$H:$H,1),1),"")</f>
        <v>0</v>
      </c>
      <c r="I464">
        <f>IF(OR(C464="PURCHASE",C464="OPENING"),G464*IF(F464="CARTON",_xlfn.XLOOKUP(D464,'ITEM MASTER'!$A:$A,'ITEM MASTER'!$H:$H,1),1),0)</f>
        <v>0</v>
      </c>
      <c r="J464">
        <f>IF(C464="SALE",G464*IF(F464="CARTON",_xlfn.XLOOKUP(D464,'ITEM MASTER'!$A:$A,'ITEM MASTER'!$H:$H,1),1),0)</f>
        <v>0</v>
      </c>
      <c r="K464">
        <f>SUMIFS($I$2:I464,$D$2:D464,D464)-SUMIFS($J$2:J464,$D$2:D464,D464)</f>
        <v>0</v>
      </c>
    </row>
    <row r="465" spans="5:11" x14ac:dyDescent="0.3">
      <c r="E465">
        <f>IFERROR(_xlfn.XLOOKUP(D465,'ITEM MASTER'!$A:$A,'ITEM MASTER'!$B:$B,""),"")</f>
        <v>0</v>
      </c>
      <c r="F465" t="s">
        <v>44</v>
      </c>
      <c r="H465">
        <f>IFERROR(_xlfn.XLOOKUP(D465,'ITEM MASTER'!$A:$A,'ITEM MASTER'!$I:$I,"")*IF(F465="CARTON",_xlfn.XLOOKUP(D465,'ITEM MASTER'!$A:$A,'ITEM MASTER'!$H:$H,1),1),"")</f>
        <v>0</v>
      </c>
      <c r="I465">
        <f>IF(OR(C465="PURCHASE",C465="OPENING"),G465*IF(F465="CARTON",_xlfn.XLOOKUP(D465,'ITEM MASTER'!$A:$A,'ITEM MASTER'!$H:$H,1),1),0)</f>
        <v>0</v>
      </c>
      <c r="J465">
        <f>IF(C465="SALE",G465*IF(F465="CARTON",_xlfn.XLOOKUP(D465,'ITEM MASTER'!$A:$A,'ITEM MASTER'!$H:$H,1),1),0)</f>
        <v>0</v>
      </c>
      <c r="K465">
        <f>SUMIFS($I$2:I465,$D$2:D465,D465)-SUMIFS($J$2:J465,$D$2:D465,D465)</f>
        <v>0</v>
      </c>
    </row>
    <row r="466" spans="5:11" x14ac:dyDescent="0.3">
      <c r="E466">
        <f>IFERROR(_xlfn.XLOOKUP(D466,'ITEM MASTER'!$A:$A,'ITEM MASTER'!$B:$B,""),"")</f>
        <v>0</v>
      </c>
      <c r="F466" t="s">
        <v>44</v>
      </c>
      <c r="H466">
        <f>IFERROR(_xlfn.XLOOKUP(D466,'ITEM MASTER'!$A:$A,'ITEM MASTER'!$I:$I,"")*IF(F466="CARTON",_xlfn.XLOOKUP(D466,'ITEM MASTER'!$A:$A,'ITEM MASTER'!$H:$H,1),1),"")</f>
        <v>0</v>
      </c>
      <c r="I466">
        <f>IF(OR(C466="PURCHASE",C466="OPENING"),G466*IF(F466="CARTON",_xlfn.XLOOKUP(D466,'ITEM MASTER'!$A:$A,'ITEM MASTER'!$H:$H,1),1),0)</f>
        <v>0</v>
      </c>
      <c r="J466">
        <f>IF(C466="SALE",G466*IF(F466="CARTON",_xlfn.XLOOKUP(D466,'ITEM MASTER'!$A:$A,'ITEM MASTER'!$H:$H,1),1),0)</f>
        <v>0</v>
      </c>
      <c r="K466">
        <f>SUMIFS($I$2:I466,$D$2:D466,D466)-SUMIFS($J$2:J466,$D$2:D466,D466)</f>
        <v>0</v>
      </c>
    </row>
    <row r="467" spans="5:11" x14ac:dyDescent="0.3">
      <c r="E467">
        <f>IFERROR(_xlfn.XLOOKUP(D467,'ITEM MASTER'!$A:$A,'ITEM MASTER'!$B:$B,""),"")</f>
        <v>0</v>
      </c>
      <c r="F467" t="s">
        <v>44</v>
      </c>
      <c r="H467">
        <f>IFERROR(_xlfn.XLOOKUP(D467,'ITEM MASTER'!$A:$A,'ITEM MASTER'!$I:$I,"")*IF(F467="CARTON",_xlfn.XLOOKUP(D467,'ITEM MASTER'!$A:$A,'ITEM MASTER'!$H:$H,1),1),"")</f>
        <v>0</v>
      </c>
      <c r="I467">
        <f>IF(OR(C467="PURCHASE",C467="OPENING"),G467*IF(F467="CARTON",_xlfn.XLOOKUP(D467,'ITEM MASTER'!$A:$A,'ITEM MASTER'!$H:$H,1),1),0)</f>
        <v>0</v>
      </c>
      <c r="J467">
        <f>IF(C467="SALE",G467*IF(F467="CARTON",_xlfn.XLOOKUP(D467,'ITEM MASTER'!$A:$A,'ITEM MASTER'!$H:$H,1),1),0)</f>
        <v>0</v>
      </c>
      <c r="K467">
        <f>SUMIFS($I$2:I467,$D$2:D467,D467)-SUMIFS($J$2:J467,$D$2:D467,D467)</f>
        <v>0</v>
      </c>
    </row>
    <row r="468" spans="5:11" x14ac:dyDescent="0.3">
      <c r="E468">
        <f>IFERROR(_xlfn.XLOOKUP(D468,'ITEM MASTER'!$A:$A,'ITEM MASTER'!$B:$B,""),"")</f>
        <v>0</v>
      </c>
      <c r="F468" t="s">
        <v>44</v>
      </c>
      <c r="H468">
        <f>IFERROR(_xlfn.XLOOKUP(D468,'ITEM MASTER'!$A:$A,'ITEM MASTER'!$I:$I,"")*IF(F468="CARTON",_xlfn.XLOOKUP(D468,'ITEM MASTER'!$A:$A,'ITEM MASTER'!$H:$H,1),1),"")</f>
        <v>0</v>
      </c>
      <c r="I468">
        <f>IF(OR(C468="PURCHASE",C468="OPENING"),G468*IF(F468="CARTON",_xlfn.XLOOKUP(D468,'ITEM MASTER'!$A:$A,'ITEM MASTER'!$H:$H,1),1),0)</f>
        <v>0</v>
      </c>
      <c r="J468">
        <f>IF(C468="SALE",G468*IF(F468="CARTON",_xlfn.XLOOKUP(D468,'ITEM MASTER'!$A:$A,'ITEM MASTER'!$H:$H,1),1),0)</f>
        <v>0</v>
      </c>
      <c r="K468">
        <f>SUMIFS($I$2:I468,$D$2:D468,D468)-SUMIFS($J$2:J468,$D$2:D468,D468)</f>
        <v>0</v>
      </c>
    </row>
    <row r="469" spans="5:11" x14ac:dyDescent="0.3">
      <c r="E469">
        <f>IFERROR(_xlfn.XLOOKUP(D469,'ITEM MASTER'!$A:$A,'ITEM MASTER'!$B:$B,""),"")</f>
        <v>0</v>
      </c>
      <c r="F469" t="s">
        <v>44</v>
      </c>
      <c r="H469">
        <f>IFERROR(_xlfn.XLOOKUP(D469,'ITEM MASTER'!$A:$A,'ITEM MASTER'!$I:$I,"")*IF(F469="CARTON",_xlfn.XLOOKUP(D469,'ITEM MASTER'!$A:$A,'ITEM MASTER'!$H:$H,1),1),"")</f>
        <v>0</v>
      </c>
      <c r="I469">
        <f>IF(OR(C469="PURCHASE",C469="OPENING"),G469*IF(F469="CARTON",_xlfn.XLOOKUP(D469,'ITEM MASTER'!$A:$A,'ITEM MASTER'!$H:$H,1),1),0)</f>
        <v>0</v>
      </c>
      <c r="J469">
        <f>IF(C469="SALE",G469*IF(F469="CARTON",_xlfn.XLOOKUP(D469,'ITEM MASTER'!$A:$A,'ITEM MASTER'!$H:$H,1),1),0)</f>
        <v>0</v>
      </c>
      <c r="K469">
        <f>SUMIFS($I$2:I469,$D$2:D469,D469)-SUMIFS($J$2:J469,$D$2:D469,D469)</f>
        <v>0</v>
      </c>
    </row>
    <row r="470" spans="5:11" x14ac:dyDescent="0.3">
      <c r="E470">
        <f>IFERROR(_xlfn.XLOOKUP(D470,'ITEM MASTER'!$A:$A,'ITEM MASTER'!$B:$B,""),"")</f>
        <v>0</v>
      </c>
      <c r="F470" t="s">
        <v>44</v>
      </c>
      <c r="H470">
        <f>IFERROR(_xlfn.XLOOKUP(D470,'ITEM MASTER'!$A:$A,'ITEM MASTER'!$I:$I,"")*IF(F470="CARTON",_xlfn.XLOOKUP(D470,'ITEM MASTER'!$A:$A,'ITEM MASTER'!$H:$H,1),1),"")</f>
        <v>0</v>
      </c>
      <c r="I470">
        <f>IF(OR(C470="PURCHASE",C470="OPENING"),G470*IF(F470="CARTON",_xlfn.XLOOKUP(D470,'ITEM MASTER'!$A:$A,'ITEM MASTER'!$H:$H,1),1),0)</f>
        <v>0</v>
      </c>
      <c r="J470">
        <f>IF(C470="SALE",G470*IF(F470="CARTON",_xlfn.XLOOKUP(D470,'ITEM MASTER'!$A:$A,'ITEM MASTER'!$H:$H,1),1),0)</f>
        <v>0</v>
      </c>
      <c r="K470">
        <f>SUMIFS($I$2:I470,$D$2:D470,D470)-SUMIFS($J$2:J470,$D$2:D470,D470)</f>
        <v>0</v>
      </c>
    </row>
    <row r="471" spans="5:11" x14ac:dyDescent="0.3">
      <c r="E471">
        <f>IFERROR(_xlfn.XLOOKUP(D471,'ITEM MASTER'!$A:$A,'ITEM MASTER'!$B:$B,""),"")</f>
        <v>0</v>
      </c>
      <c r="F471" t="s">
        <v>44</v>
      </c>
      <c r="H471">
        <f>IFERROR(_xlfn.XLOOKUP(D471,'ITEM MASTER'!$A:$A,'ITEM MASTER'!$I:$I,"")*IF(F471="CARTON",_xlfn.XLOOKUP(D471,'ITEM MASTER'!$A:$A,'ITEM MASTER'!$H:$H,1),1),"")</f>
        <v>0</v>
      </c>
      <c r="I471">
        <f>IF(OR(C471="PURCHASE",C471="OPENING"),G471*IF(F471="CARTON",_xlfn.XLOOKUP(D471,'ITEM MASTER'!$A:$A,'ITEM MASTER'!$H:$H,1),1),0)</f>
        <v>0</v>
      </c>
      <c r="J471">
        <f>IF(C471="SALE",G471*IF(F471="CARTON",_xlfn.XLOOKUP(D471,'ITEM MASTER'!$A:$A,'ITEM MASTER'!$H:$H,1),1),0)</f>
        <v>0</v>
      </c>
      <c r="K471">
        <f>SUMIFS($I$2:I471,$D$2:D471,D471)-SUMIFS($J$2:J471,$D$2:D471,D471)</f>
        <v>0</v>
      </c>
    </row>
    <row r="472" spans="5:11" x14ac:dyDescent="0.3">
      <c r="E472">
        <f>IFERROR(_xlfn.XLOOKUP(D472,'ITEM MASTER'!$A:$A,'ITEM MASTER'!$B:$B,""),"")</f>
        <v>0</v>
      </c>
      <c r="F472" t="s">
        <v>44</v>
      </c>
      <c r="H472">
        <f>IFERROR(_xlfn.XLOOKUP(D472,'ITEM MASTER'!$A:$A,'ITEM MASTER'!$I:$I,"")*IF(F472="CARTON",_xlfn.XLOOKUP(D472,'ITEM MASTER'!$A:$A,'ITEM MASTER'!$H:$H,1),1),"")</f>
        <v>0</v>
      </c>
      <c r="I472">
        <f>IF(OR(C472="PURCHASE",C472="OPENING"),G472*IF(F472="CARTON",_xlfn.XLOOKUP(D472,'ITEM MASTER'!$A:$A,'ITEM MASTER'!$H:$H,1),1),0)</f>
        <v>0</v>
      </c>
      <c r="J472">
        <f>IF(C472="SALE",G472*IF(F472="CARTON",_xlfn.XLOOKUP(D472,'ITEM MASTER'!$A:$A,'ITEM MASTER'!$H:$H,1),1),0)</f>
        <v>0</v>
      </c>
      <c r="K472">
        <f>SUMIFS($I$2:I472,$D$2:D472,D472)-SUMIFS($J$2:J472,$D$2:D472,D472)</f>
        <v>0</v>
      </c>
    </row>
    <row r="473" spans="5:11" x14ac:dyDescent="0.3">
      <c r="E473">
        <f>IFERROR(_xlfn.XLOOKUP(D473,'ITEM MASTER'!$A:$A,'ITEM MASTER'!$B:$B,""),"")</f>
        <v>0</v>
      </c>
      <c r="F473" t="s">
        <v>44</v>
      </c>
      <c r="H473">
        <f>IFERROR(_xlfn.XLOOKUP(D473,'ITEM MASTER'!$A:$A,'ITEM MASTER'!$I:$I,"")*IF(F473="CARTON",_xlfn.XLOOKUP(D473,'ITEM MASTER'!$A:$A,'ITEM MASTER'!$H:$H,1),1),"")</f>
        <v>0</v>
      </c>
      <c r="I473">
        <f>IF(OR(C473="PURCHASE",C473="OPENING"),G473*IF(F473="CARTON",_xlfn.XLOOKUP(D473,'ITEM MASTER'!$A:$A,'ITEM MASTER'!$H:$H,1),1),0)</f>
        <v>0</v>
      </c>
      <c r="J473">
        <f>IF(C473="SALE",G473*IF(F473="CARTON",_xlfn.XLOOKUP(D473,'ITEM MASTER'!$A:$A,'ITEM MASTER'!$H:$H,1),1),0)</f>
        <v>0</v>
      </c>
      <c r="K473">
        <f>SUMIFS($I$2:I473,$D$2:D473,D473)-SUMIFS($J$2:J473,$D$2:D473,D473)</f>
        <v>0</v>
      </c>
    </row>
    <row r="474" spans="5:11" x14ac:dyDescent="0.3">
      <c r="E474">
        <f>IFERROR(_xlfn.XLOOKUP(D474,'ITEM MASTER'!$A:$A,'ITEM MASTER'!$B:$B,""),"")</f>
        <v>0</v>
      </c>
      <c r="F474" t="s">
        <v>44</v>
      </c>
      <c r="H474">
        <f>IFERROR(_xlfn.XLOOKUP(D474,'ITEM MASTER'!$A:$A,'ITEM MASTER'!$I:$I,"")*IF(F474="CARTON",_xlfn.XLOOKUP(D474,'ITEM MASTER'!$A:$A,'ITEM MASTER'!$H:$H,1),1),"")</f>
        <v>0</v>
      </c>
      <c r="I474">
        <f>IF(OR(C474="PURCHASE",C474="OPENING"),G474*IF(F474="CARTON",_xlfn.XLOOKUP(D474,'ITEM MASTER'!$A:$A,'ITEM MASTER'!$H:$H,1),1),0)</f>
        <v>0</v>
      </c>
      <c r="J474">
        <f>IF(C474="SALE",G474*IF(F474="CARTON",_xlfn.XLOOKUP(D474,'ITEM MASTER'!$A:$A,'ITEM MASTER'!$H:$H,1),1),0)</f>
        <v>0</v>
      </c>
      <c r="K474">
        <f>SUMIFS($I$2:I474,$D$2:D474,D474)-SUMIFS($J$2:J474,$D$2:D474,D474)</f>
        <v>0</v>
      </c>
    </row>
    <row r="475" spans="5:11" x14ac:dyDescent="0.3">
      <c r="E475">
        <f>IFERROR(_xlfn.XLOOKUP(D475,'ITEM MASTER'!$A:$A,'ITEM MASTER'!$B:$B,""),"")</f>
        <v>0</v>
      </c>
      <c r="F475" t="s">
        <v>44</v>
      </c>
      <c r="H475">
        <f>IFERROR(_xlfn.XLOOKUP(D475,'ITEM MASTER'!$A:$A,'ITEM MASTER'!$I:$I,"")*IF(F475="CARTON",_xlfn.XLOOKUP(D475,'ITEM MASTER'!$A:$A,'ITEM MASTER'!$H:$H,1),1),"")</f>
        <v>0</v>
      </c>
      <c r="I475">
        <f>IF(OR(C475="PURCHASE",C475="OPENING"),G475*IF(F475="CARTON",_xlfn.XLOOKUP(D475,'ITEM MASTER'!$A:$A,'ITEM MASTER'!$H:$H,1),1),0)</f>
        <v>0</v>
      </c>
      <c r="J475">
        <f>IF(C475="SALE",G475*IF(F475="CARTON",_xlfn.XLOOKUP(D475,'ITEM MASTER'!$A:$A,'ITEM MASTER'!$H:$H,1),1),0)</f>
        <v>0</v>
      </c>
      <c r="K475">
        <f>SUMIFS($I$2:I475,$D$2:D475,D475)-SUMIFS($J$2:J475,$D$2:D475,D475)</f>
        <v>0</v>
      </c>
    </row>
    <row r="476" spans="5:11" x14ac:dyDescent="0.3">
      <c r="E476">
        <f>IFERROR(_xlfn.XLOOKUP(D476,'ITEM MASTER'!$A:$A,'ITEM MASTER'!$B:$B,""),"")</f>
        <v>0</v>
      </c>
      <c r="F476" t="s">
        <v>44</v>
      </c>
      <c r="H476">
        <f>IFERROR(_xlfn.XLOOKUP(D476,'ITEM MASTER'!$A:$A,'ITEM MASTER'!$I:$I,"")*IF(F476="CARTON",_xlfn.XLOOKUP(D476,'ITEM MASTER'!$A:$A,'ITEM MASTER'!$H:$H,1),1),"")</f>
        <v>0</v>
      </c>
      <c r="I476">
        <f>IF(OR(C476="PURCHASE",C476="OPENING"),G476*IF(F476="CARTON",_xlfn.XLOOKUP(D476,'ITEM MASTER'!$A:$A,'ITEM MASTER'!$H:$H,1),1),0)</f>
        <v>0</v>
      </c>
      <c r="J476">
        <f>IF(C476="SALE",G476*IF(F476="CARTON",_xlfn.XLOOKUP(D476,'ITEM MASTER'!$A:$A,'ITEM MASTER'!$H:$H,1),1),0)</f>
        <v>0</v>
      </c>
      <c r="K476">
        <f>SUMIFS($I$2:I476,$D$2:D476,D476)-SUMIFS($J$2:J476,$D$2:D476,D476)</f>
        <v>0</v>
      </c>
    </row>
    <row r="477" spans="5:11" x14ac:dyDescent="0.3">
      <c r="E477">
        <f>IFERROR(_xlfn.XLOOKUP(D477,'ITEM MASTER'!$A:$A,'ITEM MASTER'!$B:$B,""),"")</f>
        <v>0</v>
      </c>
      <c r="F477" t="s">
        <v>44</v>
      </c>
      <c r="H477">
        <f>IFERROR(_xlfn.XLOOKUP(D477,'ITEM MASTER'!$A:$A,'ITEM MASTER'!$I:$I,"")*IF(F477="CARTON",_xlfn.XLOOKUP(D477,'ITEM MASTER'!$A:$A,'ITEM MASTER'!$H:$H,1),1),"")</f>
        <v>0</v>
      </c>
      <c r="I477">
        <f>IF(OR(C477="PURCHASE",C477="OPENING"),G477*IF(F477="CARTON",_xlfn.XLOOKUP(D477,'ITEM MASTER'!$A:$A,'ITEM MASTER'!$H:$H,1),1),0)</f>
        <v>0</v>
      </c>
      <c r="J477">
        <f>IF(C477="SALE",G477*IF(F477="CARTON",_xlfn.XLOOKUP(D477,'ITEM MASTER'!$A:$A,'ITEM MASTER'!$H:$H,1),1),0)</f>
        <v>0</v>
      </c>
      <c r="K477">
        <f>SUMIFS($I$2:I477,$D$2:D477,D477)-SUMIFS($J$2:J477,$D$2:D477,D477)</f>
        <v>0</v>
      </c>
    </row>
    <row r="478" spans="5:11" x14ac:dyDescent="0.3">
      <c r="E478">
        <f>IFERROR(_xlfn.XLOOKUP(D478,'ITEM MASTER'!$A:$A,'ITEM MASTER'!$B:$B,""),"")</f>
        <v>0</v>
      </c>
      <c r="F478" t="s">
        <v>44</v>
      </c>
      <c r="H478">
        <f>IFERROR(_xlfn.XLOOKUP(D478,'ITEM MASTER'!$A:$A,'ITEM MASTER'!$I:$I,"")*IF(F478="CARTON",_xlfn.XLOOKUP(D478,'ITEM MASTER'!$A:$A,'ITEM MASTER'!$H:$H,1),1),"")</f>
        <v>0</v>
      </c>
      <c r="I478">
        <f>IF(OR(C478="PURCHASE",C478="OPENING"),G478*IF(F478="CARTON",_xlfn.XLOOKUP(D478,'ITEM MASTER'!$A:$A,'ITEM MASTER'!$H:$H,1),1),0)</f>
        <v>0</v>
      </c>
      <c r="J478">
        <f>IF(C478="SALE",G478*IF(F478="CARTON",_xlfn.XLOOKUP(D478,'ITEM MASTER'!$A:$A,'ITEM MASTER'!$H:$H,1),1),0)</f>
        <v>0</v>
      </c>
      <c r="K478">
        <f>SUMIFS($I$2:I478,$D$2:D478,D478)-SUMIFS($J$2:J478,$D$2:D478,D478)</f>
        <v>0</v>
      </c>
    </row>
    <row r="479" spans="5:11" x14ac:dyDescent="0.3">
      <c r="E479">
        <f>IFERROR(_xlfn.XLOOKUP(D479,'ITEM MASTER'!$A:$A,'ITEM MASTER'!$B:$B,""),"")</f>
        <v>0</v>
      </c>
      <c r="F479" t="s">
        <v>44</v>
      </c>
      <c r="H479">
        <f>IFERROR(_xlfn.XLOOKUP(D479,'ITEM MASTER'!$A:$A,'ITEM MASTER'!$I:$I,"")*IF(F479="CARTON",_xlfn.XLOOKUP(D479,'ITEM MASTER'!$A:$A,'ITEM MASTER'!$H:$H,1),1),"")</f>
        <v>0</v>
      </c>
      <c r="I479">
        <f>IF(OR(C479="PURCHASE",C479="OPENING"),G479*IF(F479="CARTON",_xlfn.XLOOKUP(D479,'ITEM MASTER'!$A:$A,'ITEM MASTER'!$H:$H,1),1),0)</f>
        <v>0</v>
      </c>
      <c r="J479">
        <f>IF(C479="SALE",G479*IF(F479="CARTON",_xlfn.XLOOKUP(D479,'ITEM MASTER'!$A:$A,'ITEM MASTER'!$H:$H,1),1),0)</f>
        <v>0</v>
      </c>
      <c r="K479">
        <f>SUMIFS($I$2:I479,$D$2:D479,D479)-SUMIFS($J$2:J479,$D$2:D479,D479)</f>
        <v>0</v>
      </c>
    </row>
    <row r="480" spans="5:11" x14ac:dyDescent="0.3">
      <c r="E480">
        <f>IFERROR(_xlfn.XLOOKUP(D480,'ITEM MASTER'!$A:$A,'ITEM MASTER'!$B:$B,""),"")</f>
        <v>0</v>
      </c>
      <c r="F480" t="s">
        <v>44</v>
      </c>
      <c r="H480">
        <f>IFERROR(_xlfn.XLOOKUP(D480,'ITEM MASTER'!$A:$A,'ITEM MASTER'!$I:$I,"")*IF(F480="CARTON",_xlfn.XLOOKUP(D480,'ITEM MASTER'!$A:$A,'ITEM MASTER'!$H:$H,1),1),"")</f>
        <v>0</v>
      </c>
      <c r="I480">
        <f>IF(OR(C480="PURCHASE",C480="OPENING"),G480*IF(F480="CARTON",_xlfn.XLOOKUP(D480,'ITEM MASTER'!$A:$A,'ITEM MASTER'!$H:$H,1),1),0)</f>
        <v>0</v>
      </c>
      <c r="J480">
        <f>IF(C480="SALE",G480*IF(F480="CARTON",_xlfn.XLOOKUP(D480,'ITEM MASTER'!$A:$A,'ITEM MASTER'!$H:$H,1),1),0)</f>
        <v>0</v>
      </c>
      <c r="K480">
        <f>SUMIFS($I$2:I480,$D$2:D480,D480)-SUMIFS($J$2:J480,$D$2:D480,D480)</f>
        <v>0</v>
      </c>
    </row>
    <row r="481" spans="5:11" x14ac:dyDescent="0.3">
      <c r="E481">
        <f>IFERROR(_xlfn.XLOOKUP(D481,'ITEM MASTER'!$A:$A,'ITEM MASTER'!$B:$B,""),"")</f>
        <v>0</v>
      </c>
      <c r="F481" t="s">
        <v>44</v>
      </c>
      <c r="H481">
        <f>IFERROR(_xlfn.XLOOKUP(D481,'ITEM MASTER'!$A:$A,'ITEM MASTER'!$I:$I,"")*IF(F481="CARTON",_xlfn.XLOOKUP(D481,'ITEM MASTER'!$A:$A,'ITEM MASTER'!$H:$H,1),1),"")</f>
        <v>0</v>
      </c>
      <c r="I481">
        <f>IF(OR(C481="PURCHASE",C481="OPENING"),G481*IF(F481="CARTON",_xlfn.XLOOKUP(D481,'ITEM MASTER'!$A:$A,'ITEM MASTER'!$H:$H,1),1),0)</f>
        <v>0</v>
      </c>
      <c r="J481">
        <f>IF(C481="SALE",G481*IF(F481="CARTON",_xlfn.XLOOKUP(D481,'ITEM MASTER'!$A:$A,'ITEM MASTER'!$H:$H,1),1),0)</f>
        <v>0</v>
      </c>
      <c r="K481">
        <f>SUMIFS($I$2:I481,$D$2:D481,D481)-SUMIFS($J$2:J481,$D$2:D481,D481)</f>
        <v>0</v>
      </c>
    </row>
    <row r="482" spans="5:11" x14ac:dyDescent="0.3">
      <c r="E482">
        <f>IFERROR(_xlfn.XLOOKUP(D482,'ITEM MASTER'!$A:$A,'ITEM MASTER'!$B:$B,""),"")</f>
        <v>0</v>
      </c>
      <c r="F482" t="s">
        <v>44</v>
      </c>
      <c r="H482">
        <f>IFERROR(_xlfn.XLOOKUP(D482,'ITEM MASTER'!$A:$A,'ITEM MASTER'!$I:$I,"")*IF(F482="CARTON",_xlfn.XLOOKUP(D482,'ITEM MASTER'!$A:$A,'ITEM MASTER'!$H:$H,1),1),"")</f>
        <v>0</v>
      </c>
      <c r="I482">
        <f>IF(OR(C482="PURCHASE",C482="OPENING"),G482*IF(F482="CARTON",_xlfn.XLOOKUP(D482,'ITEM MASTER'!$A:$A,'ITEM MASTER'!$H:$H,1),1),0)</f>
        <v>0</v>
      </c>
      <c r="J482">
        <f>IF(C482="SALE",G482*IF(F482="CARTON",_xlfn.XLOOKUP(D482,'ITEM MASTER'!$A:$A,'ITEM MASTER'!$H:$H,1),1),0)</f>
        <v>0</v>
      </c>
      <c r="K482">
        <f>SUMIFS($I$2:I482,$D$2:D482,D482)-SUMIFS($J$2:J482,$D$2:D482,D482)</f>
        <v>0</v>
      </c>
    </row>
    <row r="483" spans="5:11" x14ac:dyDescent="0.3">
      <c r="E483">
        <f>IFERROR(_xlfn.XLOOKUP(D483,'ITEM MASTER'!$A:$A,'ITEM MASTER'!$B:$B,""),"")</f>
        <v>0</v>
      </c>
      <c r="F483" t="s">
        <v>44</v>
      </c>
      <c r="H483">
        <f>IFERROR(_xlfn.XLOOKUP(D483,'ITEM MASTER'!$A:$A,'ITEM MASTER'!$I:$I,"")*IF(F483="CARTON",_xlfn.XLOOKUP(D483,'ITEM MASTER'!$A:$A,'ITEM MASTER'!$H:$H,1),1),"")</f>
        <v>0</v>
      </c>
      <c r="I483">
        <f>IF(OR(C483="PURCHASE",C483="OPENING"),G483*IF(F483="CARTON",_xlfn.XLOOKUP(D483,'ITEM MASTER'!$A:$A,'ITEM MASTER'!$H:$H,1),1),0)</f>
        <v>0</v>
      </c>
      <c r="J483">
        <f>IF(C483="SALE",G483*IF(F483="CARTON",_xlfn.XLOOKUP(D483,'ITEM MASTER'!$A:$A,'ITEM MASTER'!$H:$H,1),1),0)</f>
        <v>0</v>
      </c>
      <c r="K483">
        <f>SUMIFS($I$2:I483,$D$2:D483,D483)-SUMIFS($J$2:J483,$D$2:D483,D483)</f>
        <v>0</v>
      </c>
    </row>
    <row r="484" spans="5:11" x14ac:dyDescent="0.3">
      <c r="E484">
        <f>IFERROR(_xlfn.XLOOKUP(D484,'ITEM MASTER'!$A:$A,'ITEM MASTER'!$B:$B,""),"")</f>
        <v>0</v>
      </c>
      <c r="F484" t="s">
        <v>44</v>
      </c>
      <c r="H484">
        <f>IFERROR(_xlfn.XLOOKUP(D484,'ITEM MASTER'!$A:$A,'ITEM MASTER'!$I:$I,"")*IF(F484="CARTON",_xlfn.XLOOKUP(D484,'ITEM MASTER'!$A:$A,'ITEM MASTER'!$H:$H,1),1),"")</f>
        <v>0</v>
      </c>
      <c r="I484">
        <f>IF(OR(C484="PURCHASE",C484="OPENING"),G484*IF(F484="CARTON",_xlfn.XLOOKUP(D484,'ITEM MASTER'!$A:$A,'ITEM MASTER'!$H:$H,1),1),0)</f>
        <v>0</v>
      </c>
      <c r="J484">
        <f>IF(C484="SALE",G484*IF(F484="CARTON",_xlfn.XLOOKUP(D484,'ITEM MASTER'!$A:$A,'ITEM MASTER'!$H:$H,1),1),0)</f>
        <v>0</v>
      </c>
      <c r="K484">
        <f>SUMIFS($I$2:I484,$D$2:D484,D484)-SUMIFS($J$2:J484,$D$2:D484,D484)</f>
        <v>0</v>
      </c>
    </row>
    <row r="485" spans="5:11" x14ac:dyDescent="0.3">
      <c r="E485">
        <f>IFERROR(_xlfn.XLOOKUP(D485,'ITEM MASTER'!$A:$A,'ITEM MASTER'!$B:$B,""),"")</f>
        <v>0</v>
      </c>
      <c r="F485" t="s">
        <v>44</v>
      </c>
      <c r="H485">
        <f>IFERROR(_xlfn.XLOOKUP(D485,'ITEM MASTER'!$A:$A,'ITEM MASTER'!$I:$I,"")*IF(F485="CARTON",_xlfn.XLOOKUP(D485,'ITEM MASTER'!$A:$A,'ITEM MASTER'!$H:$H,1),1),"")</f>
        <v>0</v>
      </c>
      <c r="I485">
        <f>IF(OR(C485="PURCHASE",C485="OPENING"),G485*IF(F485="CARTON",_xlfn.XLOOKUP(D485,'ITEM MASTER'!$A:$A,'ITEM MASTER'!$H:$H,1),1),0)</f>
        <v>0</v>
      </c>
      <c r="J485">
        <f>IF(C485="SALE",G485*IF(F485="CARTON",_xlfn.XLOOKUP(D485,'ITEM MASTER'!$A:$A,'ITEM MASTER'!$H:$H,1),1),0)</f>
        <v>0</v>
      </c>
      <c r="K485">
        <f>SUMIFS($I$2:I485,$D$2:D485,D485)-SUMIFS($J$2:J485,$D$2:D485,D485)</f>
        <v>0</v>
      </c>
    </row>
    <row r="486" spans="5:11" x14ac:dyDescent="0.3">
      <c r="E486">
        <f>IFERROR(_xlfn.XLOOKUP(D486,'ITEM MASTER'!$A:$A,'ITEM MASTER'!$B:$B,""),"")</f>
        <v>0</v>
      </c>
      <c r="F486" t="s">
        <v>44</v>
      </c>
      <c r="H486">
        <f>IFERROR(_xlfn.XLOOKUP(D486,'ITEM MASTER'!$A:$A,'ITEM MASTER'!$I:$I,"")*IF(F486="CARTON",_xlfn.XLOOKUP(D486,'ITEM MASTER'!$A:$A,'ITEM MASTER'!$H:$H,1),1),"")</f>
        <v>0</v>
      </c>
      <c r="I486">
        <f>IF(OR(C486="PURCHASE",C486="OPENING"),G486*IF(F486="CARTON",_xlfn.XLOOKUP(D486,'ITEM MASTER'!$A:$A,'ITEM MASTER'!$H:$H,1),1),0)</f>
        <v>0</v>
      </c>
      <c r="J486">
        <f>IF(C486="SALE",G486*IF(F486="CARTON",_xlfn.XLOOKUP(D486,'ITEM MASTER'!$A:$A,'ITEM MASTER'!$H:$H,1),1),0)</f>
        <v>0</v>
      </c>
      <c r="K486">
        <f>SUMIFS($I$2:I486,$D$2:D486,D486)-SUMIFS($J$2:J486,$D$2:D486,D486)</f>
        <v>0</v>
      </c>
    </row>
    <row r="487" spans="5:11" x14ac:dyDescent="0.3">
      <c r="E487">
        <f>IFERROR(_xlfn.XLOOKUP(D487,'ITEM MASTER'!$A:$A,'ITEM MASTER'!$B:$B,""),"")</f>
        <v>0</v>
      </c>
      <c r="F487" t="s">
        <v>44</v>
      </c>
      <c r="H487">
        <f>IFERROR(_xlfn.XLOOKUP(D487,'ITEM MASTER'!$A:$A,'ITEM MASTER'!$I:$I,"")*IF(F487="CARTON",_xlfn.XLOOKUP(D487,'ITEM MASTER'!$A:$A,'ITEM MASTER'!$H:$H,1),1),"")</f>
        <v>0</v>
      </c>
      <c r="I487">
        <f>IF(OR(C487="PURCHASE",C487="OPENING"),G487*IF(F487="CARTON",_xlfn.XLOOKUP(D487,'ITEM MASTER'!$A:$A,'ITEM MASTER'!$H:$H,1),1),0)</f>
        <v>0</v>
      </c>
      <c r="J487">
        <f>IF(C487="SALE",G487*IF(F487="CARTON",_xlfn.XLOOKUP(D487,'ITEM MASTER'!$A:$A,'ITEM MASTER'!$H:$H,1),1),0)</f>
        <v>0</v>
      </c>
      <c r="K487">
        <f>SUMIFS($I$2:I487,$D$2:D487,D487)-SUMIFS($J$2:J487,$D$2:D487,D487)</f>
        <v>0</v>
      </c>
    </row>
    <row r="488" spans="5:11" x14ac:dyDescent="0.3">
      <c r="E488">
        <f>IFERROR(_xlfn.XLOOKUP(D488,'ITEM MASTER'!$A:$A,'ITEM MASTER'!$B:$B,""),"")</f>
        <v>0</v>
      </c>
      <c r="F488" t="s">
        <v>44</v>
      </c>
      <c r="H488">
        <f>IFERROR(_xlfn.XLOOKUP(D488,'ITEM MASTER'!$A:$A,'ITEM MASTER'!$I:$I,"")*IF(F488="CARTON",_xlfn.XLOOKUP(D488,'ITEM MASTER'!$A:$A,'ITEM MASTER'!$H:$H,1),1),"")</f>
        <v>0</v>
      </c>
      <c r="I488">
        <f>IF(OR(C488="PURCHASE",C488="OPENING"),G488*IF(F488="CARTON",_xlfn.XLOOKUP(D488,'ITEM MASTER'!$A:$A,'ITEM MASTER'!$H:$H,1),1),0)</f>
        <v>0</v>
      </c>
      <c r="J488">
        <f>IF(C488="SALE",G488*IF(F488="CARTON",_xlfn.XLOOKUP(D488,'ITEM MASTER'!$A:$A,'ITEM MASTER'!$H:$H,1),1),0)</f>
        <v>0</v>
      </c>
      <c r="K488">
        <f>SUMIFS($I$2:I488,$D$2:D488,D488)-SUMIFS($J$2:J488,$D$2:D488,D488)</f>
        <v>0</v>
      </c>
    </row>
    <row r="489" spans="5:11" x14ac:dyDescent="0.3">
      <c r="E489">
        <f>IFERROR(_xlfn.XLOOKUP(D489,'ITEM MASTER'!$A:$A,'ITEM MASTER'!$B:$B,""),"")</f>
        <v>0</v>
      </c>
      <c r="F489" t="s">
        <v>44</v>
      </c>
      <c r="H489">
        <f>IFERROR(_xlfn.XLOOKUP(D489,'ITEM MASTER'!$A:$A,'ITEM MASTER'!$I:$I,"")*IF(F489="CARTON",_xlfn.XLOOKUP(D489,'ITEM MASTER'!$A:$A,'ITEM MASTER'!$H:$H,1),1),"")</f>
        <v>0</v>
      </c>
      <c r="I489">
        <f>IF(OR(C489="PURCHASE",C489="OPENING"),G489*IF(F489="CARTON",_xlfn.XLOOKUP(D489,'ITEM MASTER'!$A:$A,'ITEM MASTER'!$H:$H,1),1),0)</f>
        <v>0</v>
      </c>
      <c r="J489">
        <f>IF(C489="SALE",G489*IF(F489="CARTON",_xlfn.XLOOKUP(D489,'ITEM MASTER'!$A:$A,'ITEM MASTER'!$H:$H,1),1),0)</f>
        <v>0</v>
      </c>
      <c r="K489">
        <f>SUMIFS($I$2:I489,$D$2:D489,D489)-SUMIFS($J$2:J489,$D$2:D489,D489)</f>
        <v>0</v>
      </c>
    </row>
    <row r="490" spans="5:11" x14ac:dyDescent="0.3">
      <c r="E490">
        <f>IFERROR(_xlfn.XLOOKUP(D490,'ITEM MASTER'!$A:$A,'ITEM MASTER'!$B:$B,""),"")</f>
        <v>0</v>
      </c>
      <c r="F490" t="s">
        <v>44</v>
      </c>
      <c r="H490">
        <f>IFERROR(_xlfn.XLOOKUP(D490,'ITEM MASTER'!$A:$A,'ITEM MASTER'!$I:$I,"")*IF(F490="CARTON",_xlfn.XLOOKUP(D490,'ITEM MASTER'!$A:$A,'ITEM MASTER'!$H:$H,1),1),"")</f>
        <v>0</v>
      </c>
      <c r="I490">
        <f>IF(OR(C490="PURCHASE",C490="OPENING"),G490*IF(F490="CARTON",_xlfn.XLOOKUP(D490,'ITEM MASTER'!$A:$A,'ITEM MASTER'!$H:$H,1),1),0)</f>
        <v>0</v>
      </c>
      <c r="J490">
        <f>IF(C490="SALE",G490*IF(F490="CARTON",_xlfn.XLOOKUP(D490,'ITEM MASTER'!$A:$A,'ITEM MASTER'!$H:$H,1),1),0)</f>
        <v>0</v>
      </c>
      <c r="K490">
        <f>SUMIFS($I$2:I490,$D$2:D490,D490)-SUMIFS($J$2:J490,$D$2:D490,D490)</f>
        <v>0</v>
      </c>
    </row>
    <row r="491" spans="5:11" x14ac:dyDescent="0.3">
      <c r="E491">
        <f>IFERROR(_xlfn.XLOOKUP(D491,'ITEM MASTER'!$A:$A,'ITEM MASTER'!$B:$B,""),"")</f>
        <v>0</v>
      </c>
      <c r="F491" t="s">
        <v>44</v>
      </c>
      <c r="H491">
        <f>IFERROR(_xlfn.XLOOKUP(D491,'ITEM MASTER'!$A:$A,'ITEM MASTER'!$I:$I,"")*IF(F491="CARTON",_xlfn.XLOOKUP(D491,'ITEM MASTER'!$A:$A,'ITEM MASTER'!$H:$H,1),1),"")</f>
        <v>0</v>
      </c>
      <c r="I491">
        <f>IF(OR(C491="PURCHASE",C491="OPENING"),G491*IF(F491="CARTON",_xlfn.XLOOKUP(D491,'ITEM MASTER'!$A:$A,'ITEM MASTER'!$H:$H,1),1),0)</f>
        <v>0</v>
      </c>
      <c r="J491">
        <f>IF(C491="SALE",G491*IF(F491="CARTON",_xlfn.XLOOKUP(D491,'ITEM MASTER'!$A:$A,'ITEM MASTER'!$H:$H,1),1),0)</f>
        <v>0</v>
      </c>
      <c r="K491">
        <f>SUMIFS($I$2:I491,$D$2:D491,D491)-SUMIFS($J$2:J491,$D$2:D491,D491)</f>
        <v>0</v>
      </c>
    </row>
    <row r="492" spans="5:11" x14ac:dyDescent="0.3">
      <c r="E492">
        <f>IFERROR(_xlfn.XLOOKUP(D492,'ITEM MASTER'!$A:$A,'ITEM MASTER'!$B:$B,""),"")</f>
        <v>0</v>
      </c>
      <c r="F492" t="s">
        <v>44</v>
      </c>
      <c r="H492">
        <f>IFERROR(_xlfn.XLOOKUP(D492,'ITEM MASTER'!$A:$A,'ITEM MASTER'!$I:$I,"")*IF(F492="CARTON",_xlfn.XLOOKUP(D492,'ITEM MASTER'!$A:$A,'ITEM MASTER'!$H:$H,1),1),"")</f>
        <v>0</v>
      </c>
      <c r="I492">
        <f>IF(OR(C492="PURCHASE",C492="OPENING"),G492*IF(F492="CARTON",_xlfn.XLOOKUP(D492,'ITEM MASTER'!$A:$A,'ITEM MASTER'!$H:$H,1),1),0)</f>
        <v>0</v>
      </c>
      <c r="J492">
        <f>IF(C492="SALE",G492*IF(F492="CARTON",_xlfn.XLOOKUP(D492,'ITEM MASTER'!$A:$A,'ITEM MASTER'!$H:$H,1),1),0)</f>
        <v>0</v>
      </c>
      <c r="K492">
        <f>SUMIFS($I$2:I492,$D$2:D492,D492)-SUMIFS($J$2:J492,$D$2:D492,D492)</f>
        <v>0</v>
      </c>
    </row>
    <row r="493" spans="5:11" x14ac:dyDescent="0.3">
      <c r="E493">
        <f>IFERROR(_xlfn.XLOOKUP(D493,'ITEM MASTER'!$A:$A,'ITEM MASTER'!$B:$B,""),"")</f>
        <v>0</v>
      </c>
      <c r="F493" t="s">
        <v>44</v>
      </c>
      <c r="H493">
        <f>IFERROR(_xlfn.XLOOKUP(D493,'ITEM MASTER'!$A:$A,'ITEM MASTER'!$I:$I,"")*IF(F493="CARTON",_xlfn.XLOOKUP(D493,'ITEM MASTER'!$A:$A,'ITEM MASTER'!$H:$H,1),1),"")</f>
        <v>0</v>
      </c>
      <c r="I493">
        <f>IF(OR(C493="PURCHASE",C493="OPENING"),G493*IF(F493="CARTON",_xlfn.XLOOKUP(D493,'ITEM MASTER'!$A:$A,'ITEM MASTER'!$H:$H,1),1),0)</f>
        <v>0</v>
      </c>
      <c r="J493">
        <f>IF(C493="SALE",G493*IF(F493="CARTON",_xlfn.XLOOKUP(D493,'ITEM MASTER'!$A:$A,'ITEM MASTER'!$H:$H,1),1),0)</f>
        <v>0</v>
      </c>
      <c r="K493">
        <f>SUMIFS($I$2:I493,$D$2:D493,D493)-SUMIFS($J$2:J493,$D$2:D493,D493)</f>
        <v>0</v>
      </c>
    </row>
    <row r="494" spans="5:11" x14ac:dyDescent="0.3">
      <c r="E494">
        <f>IFERROR(_xlfn.XLOOKUP(D494,'ITEM MASTER'!$A:$A,'ITEM MASTER'!$B:$B,""),"")</f>
        <v>0</v>
      </c>
      <c r="F494" t="s">
        <v>44</v>
      </c>
      <c r="H494">
        <f>IFERROR(_xlfn.XLOOKUP(D494,'ITEM MASTER'!$A:$A,'ITEM MASTER'!$I:$I,"")*IF(F494="CARTON",_xlfn.XLOOKUP(D494,'ITEM MASTER'!$A:$A,'ITEM MASTER'!$H:$H,1),1),"")</f>
        <v>0</v>
      </c>
      <c r="I494">
        <f>IF(OR(C494="PURCHASE",C494="OPENING"),G494*IF(F494="CARTON",_xlfn.XLOOKUP(D494,'ITEM MASTER'!$A:$A,'ITEM MASTER'!$H:$H,1),1),0)</f>
        <v>0</v>
      </c>
      <c r="J494">
        <f>IF(C494="SALE",G494*IF(F494="CARTON",_xlfn.XLOOKUP(D494,'ITEM MASTER'!$A:$A,'ITEM MASTER'!$H:$H,1),1),0)</f>
        <v>0</v>
      </c>
      <c r="K494">
        <f>SUMIFS($I$2:I494,$D$2:D494,D494)-SUMIFS($J$2:J494,$D$2:D494,D494)</f>
        <v>0</v>
      </c>
    </row>
    <row r="495" spans="5:11" x14ac:dyDescent="0.3">
      <c r="E495">
        <f>IFERROR(_xlfn.XLOOKUP(D495,'ITEM MASTER'!$A:$A,'ITEM MASTER'!$B:$B,""),"")</f>
        <v>0</v>
      </c>
      <c r="F495" t="s">
        <v>44</v>
      </c>
      <c r="H495">
        <f>IFERROR(_xlfn.XLOOKUP(D495,'ITEM MASTER'!$A:$A,'ITEM MASTER'!$I:$I,"")*IF(F495="CARTON",_xlfn.XLOOKUP(D495,'ITEM MASTER'!$A:$A,'ITEM MASTER'!$H:$H,1),1),"")</f>
        <v>0</v>
      </c>
      <c r="I495">
        <f>IF(OR(C495="PURCHASE",C495="OPENING"),G495*IF(F495="CARTON",_xlfn.XLOOKUP(D495,'ITEM MASTER'!$A:$A,'ITEM MASTER'!$H:$H,1),1),0)</f>
        <v>0</v>
      </c>
      <c r="J495">
        <f>IF(C495="SALE",G495*IF(F495="CARTON",_xlfn.XLOOKUP(D495,'ITEM MASTER'!$A:$A,'ITEM MASTER'!$H:$H,1),1),0)</f>
        <v>0</v>
      </c>
      <c r="K495">
        <f>SUMIFS($I$2:I495,$D$2:D495,D495)-SUMIFS($J$2:J495,$D$2:D495,D495)</f>
        <v>0</v>
      </c>
    </row>
    <row r="496" spans="5:11" x14ac:dyDescent="0.3">
      <c r="E496">
        <f>IFERROR(_xlfn.XLOOKUP(D496,'ITEM MASTER'!$A:$A,'ITEM MASTER'!$B:$B,""),"")</f>
        <v>0</v>
      </c>
      <c r="F496" t="s">
        <v>44</v>
      </c>
      <c r="H496">
        <f>IFERROR(_xlfn.XLOOKUP(D496,'ITEM MASTER'!$A:$A,'ITEM MASTER'!$I:$I,"")*IF(F496="CARTON",_xlfn.XLOOKUP(D496,'ITEM MASTER'!$A:$A,'ITEM MASTER'!$H:$H,1),1),"")</f>
        <v>0</v>
      </c>
      <c r="I496">
        <f>IF(OR(C496="PURCHASE",C496="OPENING"),G496*IF(F496="CARTON",_xlfn.XLOOKUP(D496,'ITEM MASTER'!$A:$A,'ITEM MASTER'!$H:$H,1),1),0)</f>
        <v>0</v>
      </c>
      <c r="J496">
        <f>IF(C496="SALE",G496*IF(F496="CARTON",_xlfn.XLOOKUP(D496,'ITEM MASTER'!$A:$A,'ITEM MASTER'!$H:$H,1),1),0)</f>
        <v>0</v>
      </c>
      <c r="K496">
        <f>SUMIFS($I$2:I496,$D$2:D496,D496)-SUMIFS($J$2:J496,$D$2:D496,D496)</f>
        <v>0</v>
      </c>
    </row>
    <row r="497" spans="5:11" x14ac:dyDescent="0.3">
      <c r="E497">
        <f>IFERROR(_xlfn.XLOOKUP(D497,'ITEM MASTER'!$A:$A,'ITEM MASTER'!$B:$B,""),"")</f>
        <v>0</v>
      </c>
      <c r="F497" t="s">
        <v>44</v>
      </c>
      <c r="H497">
        <f>IFERROR(_xlfn.XLOOKUP(D497,'ITEM MASTER'!$A:$A,'ITEM MASTER'!$I:$I,"")*IF(F497="CARTON",_xlfn.XLOOKUP(D497,'ITEM MASTER'!$A:$A,'ITEM MASTER'!$H:$H,1),1),"")</f>
        <v>0</v>
      </c>
      <c r="I497">
        <f>IF(OR(C497="PURCHASE",C497="OPENING"),G497*IF(F497="CARTON",_xlfn.XLOOKUP(D497,'ITEM MASTER'!$A:$A,'ITEM MASTER'!$H:$H,1),1),0)</f>
        <v>0</v>
      </c>
      <c r="J497">
        <f>IF(C497="SALE",G497*IF(F497="CARTON",_xlfn.XLOOKUP(D497,'ITEM MASTER'!$A:$A,'ITEM MASTER'!$H:$H,1),1),0)</f>
        <v>0</v>
      </c>
      <c r="K497">
        <f>SUMIFS($I$2:I497,$D$2:D497,D497)-SUMIFS($J$2:J497,$D$2:D497,D497)</f>
        <v>0</v>
      </c>
    </row>
    <row r="498" spans="5:11" x14ac:dyDescent="0.3">
      <c r="E498">
        <f>IFERROR(_xlfn.XLOOKUP(D498,'ITEM MASTER'!$A:$A,'ITEM MASTER'!$B:$B,""),"")</f>
        <v>0</v>
      </c>
      <c r="F498" t="s">
        <v>44</v>
      </c>
      <c r="H498">
        <f>IFERROR(_xlfn.XLOOKUP(D498,'ITEM MASTER'!$A:$A,'ITEM MASTER'!$I:$I,"")*IF(F498="CARTON",_xlfn.XLOOKUP(D498,'ITEM MASTER'!$A:$A,'ITEM MASTER'!$H:$H,1),1),"")</f>
        <v>0</v>
      </c>
      <c r="I498">
        <f>IF(OR(C498="PURCHASE",C498="OPENING"),G498*IF(F498="CARTON",_xlfn.XLOOKUP(D498,'ITEM MASTER'!$A:$A,'ITEM MASTER'!$H:$H,1),1),0)</f>
        <v>0</v>
      </c>
      <c r="J498">
        <f>IF(C498="SALE",G498*IF(F498="CARTON",_xlfn.XLOOKUP(D498,'ITEM MASTER'!$A:$A,'ITEM MASTER'!$H:$H,1),1),0)</f>
        <v>0</v>
      </c>
      <c r="K498">
        <f>SUMIFS($I$2:I498,$D$2:D498,D498)-SUMIFS($J$2:J498,$D$2:D498,D498)</f>
        <v>0</v>
      </c>
    </row>
    <row r="499" spans="5:11" x14ac:dyDescent="0.3">
      <c r="E499">
        <f>IFERROR(_xlfn.XLOOKUP(D499,'ITEM MASTER'!$A:$A,'ITEM MASTER'!$B:$B,""),"")</f>
        <v>0</v>
      </c>
      <c r="F499" t="s">
        <v>44</v>
      </c>
      <c r="H499">
        <f>IFERROR(_xlfn.XLOOKUP(D499,'ITEM MASTER'!$A:$A,'ITEM MASTER'!$I:$I,"")*IF(F499="CARTON",_xlfn.XLOOKUP(D499,'ITEM MASTER'!$A:$A,'ITEM MASTER'!$H:$H,1),1),"")</f>
        <v>0</v>
      </c>
      <c r="I499">
        <f>IF(OR(C499="PURCHASE",C499="OPENING"),G499*IF(F499="CARTON",_xlfn.XLOOKUP(D499,'ITEM MASTER'!$A:$A,'ITEM MASTER'!$H:$H,1),1),0)</f>
        <v>0</v>
      </c>
      <c r="J499">
        <f>IF(C499="SALE",G499*IF(F499="CARTON",_xlfn.XLOOKUP(D499,'ITEM MASTER'!$A:$A,'ITEM MASTER'!$H:$H,1),1),0)</f>
        <v>0</v>
      </c>
      <c r="K499">
        <f>SUMIFS($I$2:I499,$D$2:D499,D499)-SUMIFS($J$2:J499,$D$2:D499,D499)</f>
        <v>0</v>
      </c>
    </row>
    <row r="500" spans="5:11" x14ac:dyDescent="0.3">
      <c r="E500">
        <f>IFERROR(_xlfn.XLOOKUP(D500,'ITEM MASTER'!$A:$A,'ITEM MASTER'!$B:$B,""),"")</f>
        <v>0</v>
      </c>
      <c r="F500" t="s">
        <v>44</v>
      </c>
      <c r="H500">
        <f>IFERROR(_xlfn.XLOOKUP(D500,'ITEM MASTER'!$A:$A,'ITEM MASTER'!$I:$I,"")*IF(F500="CARTON",_xlfn.XLOOKUP(D500,'ITEM MASTER'!$A:$A,'ITEM MASTER'!$H:$H,1),1),"")</f>
        <v>0</v>
      </c>
      <c r="I500">
        <f>IF(OR(C500="PURCHASE",C500="OPENING"),G500*IF(F500="CARTON",_xlfn.XLOOKUP(D500,'ITEM MASTER'!$A:$A,'ITEM MASTER'!$H:$H,1),1),0)</f>
        <v>0</v>
      </c>
      <c r="J500">
        <f>IF(C500="SALE",G500*IF(F500="CARTON",_xlfn.XLOOKUP(D500,'ITEM MASTER'!$A:$A,'ITEM MASTER'!$H:$H,1),1),0)</f>
        <v>0</v>
      </c>
      <c r="K500">
        <f>SUMIFS($I$2:I500,$D$2:D500,D500)-SUMIFS($J$2:J500,$D$2:D500,D500)</f>
        <v>0</v>
      </c>
    </row>
    <row r="501" spans="5:11" x14ac:dyDescent="0.3">
      <c r="E501">
        <f>IFERROR(_xlfn.XLOOKUP(D501,'ITEM MASTER'!$A:$A,'ITEM MASTER'!$B:$B,""),"")</f>
        <v>0</v>
      </c>
      <c r="F501" t="s">
        <v>44</v>
      </c>
      <c r="H501">
        <f>IFERROR(_xlfn.XLOOKUP(D501,'ITEM MASTER'!$A:$A,'ITEM MASTER'!$I:$I,"")*IF(F501="CARTON",_xlfn.XLOOKUP(D501,'ITEM MASTER'!$A:$A,'ITEM MASTER'!$H:$H,1),1),"")</f>
        <v>0</v>
      </c>
      <c r="I501">
        <f>IF(OR(C501="PURCHASE",C501="OPENING"),G501*IF(F501="CARTON",_xlfn.XLOOKUP(D501,'ITEM MASTER'!$A:$A,'ITEM MASTER'!$H:$H,1),1),0)</f>
        <v>0</v>
      </c>
      <c r="J501">
        <f>IF(C501="SALE",G501*IF(F501="CARTON",_xlfn.XLOOKUP(D501,'ITEM MASTER'!$A:$A,'ITEM MASTER'!$H:$H,1),1),0)</f>
        <v>0</v>
      </c>
      <c r="K501">
        <f>SUMIFS($I$2:I501,$D$2:D501,D501)-SUMIFS($J$2:J501,$D$2:D501,D501)</f>
        <v>0</v>
      </c>
    </row>
    <row r="502" spans="5:11" x14ac:dyDescent="0.3">
      <c r="E502">
        <f>IFERROR(_xlfn.XLOOKUP(D502,'ITEM MASTER'!$A:$A,'ITEM MASTER'!$B:$B,""),"")</f>
        <v>0</v>
      </c>
      <c r="F502" t="s">
        <v>44</v>
      </c>
      <c r="H502">
        <f>IFERROR(_xlfn.XLOOKUP(D502,'ITEM MASTER'!$A:$A,'ITEM MASTER'!$I:$I,"")*IF(F502="CARTON",_xlfn.XLOOKUP(D502,'ITEM MASTER'!$A:$A,'ITEM MASTER'!$H:$H,1),1),"")</f>
        <v>0</v>
      </c>
      <c r="I502">
        <f>IF(OR(C502="PURCHASE",C502="OPENING"),G502*IF(F502="CARTON",_xlfn.XLOOKUP(D502,'ITEM MASTER'!$A:$A,'ITEM MASTER'!$H:$H,1),1),0)</f>
        <v>0</v>
      </c>
      <c r="J502">
        <f>IF(C502="SALE",G502*IF(F502="CARTON",_xlfn.XLOOKUP(D502,'ITEM MASTER'!$A:$A,'ITEM MASTER'!$H:$H,1),1),0)</f>
        <v>0</v>
      </c>
      <c r="K502">
        <f>SUMIFS($I$2:I502,$D$2:D502,D502)-SUMIFS($J$2:J502,$D$2:D502,D502)</f>
        <v>0</v>
      </c>
    </row>
    <row r="503" spans="5:11" x14ac:dyDescent="0.3">
      <c r="E503">
        <f>IFERROR(_xlfn.XLOOKUP(D503,'ITEM MASTER'!$A:$A,'ITEM MASTER'!$B:$B,""),"")</f>
        <v>0</v>
      </c>
      <c r="F503" t="s">
        <v>44</v>
      </c>
      <c r="H503">
        <f>IFERROR(_xlfn.XLOOKUP(D503,'ITEM MASTER'!$A:$A,'ITEM MASTER'!$I:$I,"")*IF(F503="CARTON",_xlfn.XLOOKUP(D503,'ITEM MASTER'!$A:$A,'ITEM MASTER'!$H:$H,1),1),"")</f>
        <v>0</v>
      </c>
      <c r="I503">
        <f>IF(OR(C503="PURCHASE",C503="OPENING"),G503*IF(F503="CARTON",_xlfn.XLOOKUP(D503,'ITEM MASTER'!$A:$A,'ITEM MASTER'!$H:$H,1),1),0)</f>
        <v>0</v>
      </c>
      <c r="J503">
        <f>IF(C503="SALE",G503*IF(F503="CARTON",_xlfn.XLOOKUP(D503,'ITEM MASTER'!$A:$A,'ITEM MASTER'!$H:$H,1),1),0)</f>
        <v>0</v>
      </c>
      <c r="K503">
        <f>SUMIFS($I$2:I503,$D$2:D503,D503)-SUMIFS($J$2:J503,$D$2:D503,D503)</f>
        <v>0</v>
      </c>
    </row>
    <row r="504" spans="5:11" x14ac:dyDescent="0.3">
      <c r="E504">
        <f>IFERROR(_xlfn.XLOOKUP(D504,'ITEM MASTER'!$A:$A,'ITEM MASTER'!$B:$B,""),"")</f>
        <v>0</v>
      </c>
      <c r="F504" t="s">
        <v>44</v>
      </c>
      <c r="H504">
        <f>IFERROR(_xlfn.XLOOKUP(D504,'ITEM MASTER'!$A:$A,'ITEM MASTER'!$I:$I,"")*IF(F504="CARTON",_xlfn.XLOOKUP(D504,'ITEM MASTER'!$A:$A,'ITEM MASTER'!$H:$H,1),1),"")</f>
        <v>0</v>
      </c>
      <c r="I504">
        <f>IF(OR(C504="PURCHASE",C504="OPENING"),G504*IF(F504="CARTON",_xlfn.XLOOKUP(D504,'ITEM MASTER'!$A:$A,'ITEM MASTER'!$H:$H,1),1),0)</f>
        <v>0</v>
      </c>
      <c r="J504">
        <f>IF(C504="SALE",G504*IF(F504="CARTON",_xlfn.XLOOKUP(D504,'ITEM MASTER'!$A:$A,'ITEM MASTER'!$H:$H,1),1),0)</f>
        <v>0</v>
      </c>
      <c r="K504">
        <f>SUMIFS($I$2:I504,$D$2:D504,D504)-SUMIFS($J$2:J504,$D$2:D504,D504)</f>
        <v>0</v>
      </c>
    </row>
    <row r="505" spans="5:11" x14ac:dyDescent="0.3">
      <c r="E505">
        <f>IFERROR(_xlfn.XLOOKUP(D505,'ITEM MASTER'!$A:$A,'ITEM MASTER'!$B:$B,""),"")</f>
        <v>0</v>
      </c>
      <c r="F505" t="s">
        <v>44</v>
      </c>
      <c r="H505">
        <f>IFERROR(_xlfn.XLOOKUP(D505,'ITEM MASTER'!$A:$A,'ITEM MASTER'!$I:$I,"")*IF(F505="CARTON",_xlfn.XLOOKUP(D505,'ITEM MASTER'!$A:$A,'ITEM MASTER'!$H:$H,1),1),"")</f>
        <v>0</v>
      </c>
      <c r="I505">
        <f>IF(OR(C505="PURCHASE",C505="OPENING"),G505*IF(F505="CARTON",_xlfn.XLOOKUP(D505,'ITEM MASTER'!$A:$A,'ITEM MASTER'!$H:$H,1),1),0)</f>
        <v>0</v>
      </c>
      <c r="J505">
        <f>IF(C505="SALE",G505*IF(F505="CARTON",_xlfn.XLOOKUP(D505,'ITEM MASTER'!$A:$A,'ITEM MASTER'!$H:$H,1),1),0)</f>
        <v>0</v>
      </c>
      <c r="K505">
        <f>SUMIFS($I$2:I505,$D$2:D505,D505)-SUMIFS($J$2:J505,$D$2:D505,D505)</f>
        <v>0</v>
      </c>
    </row>
    <row r="506" spans="5:11" x14ac:dyDescent="0.3">
      <c r="E506">
        <f>IFERROR(_xlfn.XLOOKUP(D506,'ITEM MASTER'!$A:$A,'ITEM MASTER'!$B:$B,""),"")</f>
        <v>0</v>
      </c>
      <c r="F506" t="s">
        <v>44</v>
      </c>
      <c r="H506">
        <f>IFERROR(_xlfn.XLOOKUP(D506,'ITEM MASTER'!$A:$A,'ITEM MASTER'!$I:$I,"")*IF(F506="CARTON",_xlfn.XLOOKUP(D506,'ITEM MASTER'!$A:$A,'ITEM MASTER'!$H:$H,1),1),"")</f>
        <v>0</v>
      </c>
      <c r="I506">
        <f>IF(OR(C506="PURCHASE",C506="OPENING"),G506*IF(F506="CARTON",_xlfn.XLOOKUP(D506,'ITEM MASTER'!$A:$A,'ITEM MASTER'!$H:$H,1),1),0)</f>
        <v>0</v>
      </c>
      <c r="J506">
        <f>IF(C506="SALE",G506*IF(F506="CARTON",_xlfn.XLOOKUP(D506,'ITEM MASTER'!$A:$A,'ITEM MASTER'!$H:$H,1),1),0)</f>
        <v>0</v>
      </c>
      <c r="K506">
        <f>SUMIFS($I$2:I506,$D$2:D506,D506)-SUMIFS($J$2:J506,$D$2:D506,D506)</f>
        <v>0</v>
      </c>
    </row>
    <row r="507" spans="5:11" x14ac:dyDescent="0.3">
      <c r="E507">
        <f>IFERROR(_xlfn.XLOOKUP(D507,'ITEM MASTER'!$A:$A,'ITEM MASTER'!$B:$B,""),"")</f>
        <v>0</v>
      </c>
      <c r="F507" t="s">
        <v>44</v>
      </c>
      <c r="H507">
        <f>IFERROR(_xlfn.XLOOKUP(D507,'ITEM MASTER'!$A:$A,'ITEM MASTER'!$I:$I,"")*IF(F507="CARTON",_xlfn.XLOOKUP(D507,'ITEM MASTER'!$A:$A,'ITEM MASTER'!$H:$H,1),1),"")</f>
        <v>0</v>
      </c>
      <c r="I507">
        <f>IF(OR(C507="PURCHASE",C507="OPENING"),G507*IF(F507="CARTON",_xlfn.XLOOKUP(D507,'ITEM MASTER'!$A:$A,'ITEM MASTER'!$H:$H,1),1),0)</f>
        <v>0</v>
      </c>
      <c r="J507">
        <f>IF(C507="SALE",G507*IF(F507="CARTON",_xlfn.XLOOKUP(D507,'ITEM MASTER'!$A:$A,'ITEM MASTER'!$H:$H,1),1),0)</f>
        <v>0</v>
      </c>
      <c r="K507">
        <f>SUMIFS($I$2:I507,$D$2:D507,D507)-SUMIFS($J$2:J507,$D$2:D507,D507)</f>
        <v>0</v>
      </c>
    </row>
    <row r="508" spans="5:11" x14ac:dyDescent="0.3">
      <c r="E508">
        <f>IFERROR(_xlfn.XLOOKUP(D508,'ITEM MASTER'!$A:$A,'ITEM MASTER'!$B:$B,""),"")</f>
        <v>0</v>
      </c>
      <c r="F508" t="s">
        <v>44</v>
      </c>
      <c r="H508">
        <f>IFERROR(_xlfn.XLOOKUP(D508,'ITEM MASTER'!$A:$A,'ITEM MASTER'!$I:$I,"")*IF(F508="CARTON",_xlfn.XLOOKUP(D508,'ITEM MASTER'!$A:$A,'ITEM MASTER'!$H:$H,1),1),"")</f>
        <v>0</v>
      </c>
      <c r="I508">
        <f>IF(OR(C508="PURCHASE",C508="OPENING"),G508*IF(F508="CARTON",_xlfn.XLOOKUP(D508,'ITEM MASTER'!$A:$A,'ITEM MASTER'!$H:$H,1),1),0)</f>
        <v>0</v>
      </c>
      <c r="J508">
        <f>IF(C508="SALE",G508*IF(F508="CARTON",_xlfn.XLOOKUP(D508,'ITEM MASTER'!$A:$A,'ITEM MASTER'!$H:$H,1),1),0)</f>
        <v>0</v>
      </c>
      <c r="K508">
        <f>SUMIFS($I$2:I508,$D$2:D508,D508)-SUMIFS($J$2:J508,$D$2:D508,D508)</f>
        <v>0</v>
      </c>
    </row>
    <row r="509" spans="5:11" x14ac:dyDescent="0.3">
      <c r="E509">
        <f>IFERROR(_xlfn.XLOOKUP(D509,'ITEM MASTER'!$A:$A,'ITEM MASTER'!$B:$B,""),"")</f>
        <v>0</v>
      </c>
      <c r="F509" t="s">
        <v>44</v>
      </c>
      <c r="H509">
        <f>IFERROR(_xlfn.XLOOKUP(D509,'ITEM MASTER'!$A:$A,'ITEM MASTER'!$I:$I,"")*IF(F509="CARTON",_xlfn.XLOOKUP(D509,'ITEM MASTER'!$A:$A,'ITEM MASTER'!$H:$H,1),1),"")</f>
        <v>0</v>
      </c>
      <c r="I509">
        <f>IF(OR(C509="PURCHASE",C509="OPENING"),G509*IF(F509="CARTON",_xlfn.XLOOKUP(D509,'ITEM MASTER'!$A:$A,'ITEM MASTER'!$H:$H,1),1),0)</f>
        <v>0</v>
      </c>
      <c r="J509">
        <f>IF(C509="SALE",G509*IF(F509="CARTON",_xlfn.XLOOKUP(D509,'ITEM MASTER'!$A:$A,'ITEM MASTER'!$H:$H,1),1),0)</f>
        <v>0</v>
      </c>
      <c r="K509">
        <f>SUMIFS($I$2:I509,$D$2:D509,D509)-SUMIFS($J$2:J509,$D$2:D509,D509)</f>
        <v>0</v>
      </c>
    </row>
    <row r="510" spans="5:11" x14ac:dyDescent="0.3">
      <c r="E510">
        <f>IFERROR(_xlfn.XLOOKUP(D510,'ITEM MASTER'!$A:$A,'ITEM MASTER'!$B:$B,""),"")</f>
        <v>0</v>
      </c>
      <c r="F510" t="s">
        <v>44</v>
      </c>
      <c r="H510">
        <f>IFERROR(_xlfn.XLOOKUP(D510,'ITEM MASTER'!$A:$A,'ITEM MASTER'!$I:$I,"")*IF(F510="CARTON",_xlfn.XLOOKUP(D510,'ITEM MASTER'!$A:$A,'ITEM MASTER'!$H:$H,1),1),"")</f>
        <v>0</v>
      </c>
      <c r="I510">
        <f>IF(OR(C510="PURCHASE",C510="OPENING"),G510*IF(F510="CARTON",_xlfn.XLOOKUP(D510,'ITEM MASTER'!$A:$A,'ITEM MASTER'!$H:$H,1),1),0)</f>
        <v>0</v>
      </c>
      <c r="J510">
        <f>IF(C510="SALE",G510*IF(F510="CARTON",_xlfn.XLOOKUP(D510,'ITEM MASTER'!$A:$A,'ITEM MASTER'!$H:$H,1),1),0)</f>
        <v>0</v>
      </c>
      <c r="K510">
        <f>SUMIFS($I$2:I510,$D$2:D510,D510)-SUMIFS($J$2:J510,$D$2:D510,D510)</f>
        <v>0</v>
      </c>
    </row>
    <row r="511" spans="5:11" x14ac:dyDescent="0.3">
      <c r="E511">
        <f>IFERROR(_xlfn.XLOOKUP(D511,'ITEM MASTER'!$A:$A,'ITEM MASTER'!$B:$B,""),"")</f>
        <v>0</v>
      </c>
      <c r="F511" t="s">
        <v>44</v>
      </c>
      <c r="H511">
        <f>IFERROR(_xlfn.XLOOKUP(D511,'ITEM MASTER'!$A:$A,'ITEM MASTER'!$I:$I,"")*IF(F511="CARTON",_xlfn.XLOOKUP(D511,'ITEM MASTER'!$A:$A,'ITEM MASTER'!$H:$H,1),1),"")</f>
        <v>0</v>
      </c>
      <c r="I511">
        <f>IF(OR(C511="PURCHASE",C511="OPENING"),G511*IF(F511="CARTON",_xlfn.XLOOKUP(D511,'ITEM MASTER'!$A:$A,'ITEM MASTER'!$H:$H,1),1),0)</f>
        <v>0</v>
      </c>
      <c r="J511">
        <f>IF(C511="SALE",G511*IF(F511="CARTON",_xlfn.XLOOKUP(D511,'ITEM MASTER'!$A:$A,'ITEM MASTER'!$H:$H,1),1),0)</f>
        <v>0</v>
      </c>
      <c r="K511">
        <f>SUMIFS($I$2:I511,$D$2:D511,D511)-SUMIFS($J$2:J511,$D$2:D511,D511)</f>
        <v>0</v>
      </c>
    </row>
    <row r="512" spans="5:11" x14ac:dyDescent="0.3">
      <c r="E512">
        <f>IFERROR(_xlfn.XLOOKUP(D512,'ITEM MASTER'!$A:$A,'ITEM MASTER'!$B:$B,""),"")</f>
        <v>0</v>
      </c>
      <c r="F512" t="s">
        <v>44</v>
      </c>
      <c r="H512">
        <f>IFERROR(_xlfn.XLOOKUP(D512,'ITEM MASTER'!$A:$A,'ITEM MASTER'!$I:$I,"")*IF(F512="CARTON",_xlfn.XLOOKUP(D512,'ITEM MASTER'!$A:$A,'ITEM MASTER'!$H:$H,1),1),"")</f>
        <v>0</v>
      </c>
      <c r="I512">
        <f>IF(OR(C512="PURCHASE",C512="OPENING"),G512*IF(F512="CARTON",_xlfn.XLOOKUP(D512,'ITEM MASTER'!$A:$A,'ITEM MASTER'!$H:$H,1),1),0)</f>
        <v>0</v>
      </c>
      <c r="J512">
        <f>IF(C512="SALE",G512*IF(F512="CARTON",_xlfn.XLOOKUP(D512,'ITEM MASTER'!$A:$A,'ITEM MASTER'!$H:$H,1),1),0)</f>
        <v>0</v>
      </c>
      <c r="K512">
        <f>SUMIFS($I$2:I512,$D$2:D512,D512)-SUMIFS($J$2:J512,$D$2:D512,D512)</f>
        <v>0</v>
      </c>
    </row>
    <row r="513" spans="5:11" x14ac:dyDescent="0.3">
      <c r="E513">
        <f>IFERROR(_xlfn.XLOOKUP(D513,'ITEM MASTER'!$A:$A,'ITEM MASTER'!$B:$B,""),"")</f>
        <v>0</v>
      </c>
      <c r="F513" t="s">
        <v>44</v>
      </c>
      <c r="H513">
        <f>IFERROR(_xlfn.XLOOKUP(D513,'ITEM MASTER'!$A:$A,'ITEM MASTER'!$I:$I,"")*IF(F513="CARTON",_xlfn.XLOOKUP(D513,'ITEM MASTER'!$A:$A,'ITEM MASTER'!$H:$H,1),1),"")</f>
        <v>0</v>
      </c>
      <c r="I513">
        <f>IF(OR(C513="PURCHASE",C513="OPENING"),G513*IF(F513="CARTON",_xlfn.XLOOKUP(D513,'ITEM MASTER'!$A:$A,'ITEM MASTER'!$H:$H,1),1),0)</f>
        <v>0</v>
      </c>
      <c r="J513">
        <f>IF(C513="SALE",G513*IF(F513="CARTON",_xlfn.XLOOKUP(D513,'ITEM MASTER'!$A:$A,'ITEM MASTER'!$H:$H,1),1),0)</f>
        <v>0</v>
      </c>
      <c r="K513">
        <f>SUMIFS($I$2:I513,$D$2:D513,D513)-SUMIFS($J$2:J513,$D$2:D513,D513)</f>
        <v>0</v>
      </c>
    </row>
    <row r="514" spans="5:11" x14ac:dyDescent="0.3">
      <c r="E514">
        <f>IFERROR(_xlfn.XLOOKUP(D514,'ITEM MASTER'!$A:$A,'ITEM MASTER'!$B:$B,""),"")</f>
        <v>0</v>
      </c>
      <c r="F514" t="s">
        <v>44</v>
      </c>
      <c r="H514">
        <f>IFERROR(_xlfn.XLOOKUP(D514,'ITEM MASTER'!$A:$A,'ITEM MASTER'!$I:$I,"")*IF(F514="CARTON",_xlfn.XLOOKUP(D514,'ITEM MASTER'!$A:$A,'ITEM MASTER'!$H:$H,1),1),"")</f>
        <v>0</v>
      </c>
      <c r="I514">
        <f>IF(OR(C514="PURCHASE",C514="OPENING"),G514*IF(F514="CARTON",_xlfn.XLOOKUP(D514,'ITEM MASTER'!$A:$A,'ITEM MASTER'!$H:$H,1),1),0)</f>
        <v>0</v>
      </c>
      <c r="J514">
        <f>IF(C514="SALE",G514*IF(F514="CARTON",_xlfn.XLOOKUP(D514,'ITEM MASTER'!$A:$A,'ITEM MASTER'!$H:$H,1),1),0)</f>
        <v>0</v>
      </c>
      <c r="K514">
        <f>SUMIFS($I$2:I514,$D$2:D514,D514)-SUMIFS($J$2:J514,$D$2:D514,D514)</f>
        <v>0</v>
      </c>
    </row>
    <row r="515" spans="5:11" x14ac:dyDescent="0.3">
      <c r="E515">
        <f>IFERROR(_xlfn.XLOOKUP(D515,'ITEM MASTER'!$A:$A,'ITEM MASTER'!$B:$B,""),"")</f>
        <v>0</v>
      </c>
      <c r="F515" t="s">
        <v>44</v>
      </c>
      <c r="H515">
        <f>IFERROR(_xlfn.XLOOKUP(D515,'ITEM MASTER'!$A:$A,'ITEM MASTER'!$I:$I,"")*IF(F515="CARTON",_xlfn.XLOOKUP(D515,'ITEM MASTER'!$A:$A,'ITEM MASTER'!$H:$H,1),1),"")</f>
        <v>0</v>
      </c>
      <c r="I515">
        <f>IF(OR(C515="PURCHASE",C515="OPENING"),G515*IF(F515="CARTON",_xlfn.XLOOKUP(D515,'ITEM MASTER'!$A:$A,'ITEM MASTER'!$H:$H,1),1),0)</f>
        <v>0</v>
      </c>
      <c r="J515">
        <f>IF(C515="SALE",G515*IF(F515="CARTON",_xlfn.XLOOKUP(D515,'ITEM MASTER'!$A:$A,'ITEM MASTER'!$H:$H,1),1),0)</f>
        <v>0</v>
      </c>
      <c r="K515">
        <f>SUMIFS($I$2:I515,$D$2:D515,D515)-SUMIFS($J$2:J515,$D$2:D515,D515)</f>
        <v>0</v>
      </c>
    </row>
    <row r="516" spans="5:11" x14ac:dyDescent="0.3">
      <c r="E516">
        <f>IFERROR(_xlfn.XLOOKUP(D516,'ITEM MASTER'!$A:$A,'ITEM MASTER'!$B:$B,""),"")</f>
        <v>0</v>
      </c>
      <c r="F516" t="s">
        <v>44</v>
      </c>
      <c r="H516">
        <f>IFERROR(_xlfn.XLOOKUP(D516,'ITEM MASTER'!$A:$A,'ITEM MASTER'!$I:$I,"")*IF(F516="CARTON",_xlfn.XLOOKUP(D516,'ITEM MASTER'!$A:$A,'ITEM MASTER'!$H:$H,1),1),"")</f>
        <v>0</v>
      </c>
      <c r="I516">
        <f>IF(OR(C516="PURCHASE",C516="OPENING"),G516*IF(F516="CARTON",_xlfn.XLOOKUP(D516,'ITEM MASTER'!$A:$A,'ITEM MASTER'!$H:$H,1),1),0)</f>
        <v>0</v>
      </c>
      <c r="J516">
        <f>IF(C516="SALE",G516*IF(F516="CARTON",_xlfn.XLOOKUP(D516,'ITEM MASTER'!$A:$A,'ITEM MASTER'!$H:$H,1),1),0)</f>
        <v>0</v>
      </c>
      <c r="K516">
        <f>SUMIFS($I$2:I516,$D$2:D516,D516)-SUMIFS($J$2:J516,$D$2:D516,D516)</f>
        <v>0</v>
      </c>
    </row>
    <row r="517" spans="5:11" x14ac:dyDescent="0.3">
      <c r="E517">
        <f>IFERROR(_xlfn.XLOOKUP(D517,'ITEM MASTER'!$A:$A,'ITEM MASTER'!$B:$B,""),"")</f>
        <v>0</v>
      </c>
      <c r="F517" t="s">
        <v>44</v>
      </c>
      <c r="H517">
        <f>IFERROR(_xlfn.XLOOKUP(D517,'ITEM MASTER'!$A:$A,'ITEM MASTER'!$I:$I,"")*IF(F517="CARTON",_xlfn.XLOOKUP(D517,'ITEM MASTER'!$A:$A,'ITEM MASTER'!$H:$H,1),1),"")</f>
        <v>0</v>
      </c>
      <c r="I517">
        <f>IF(OR(C517="PURCHASE",C517="OPENING"),G517*IF(F517="CARTON",_xlfn.XLOOKUP(D517,'ITEM MASTER'!$A:$A,'ITEM MASTER'!$H:$H,1),1),0)</f>
        <v>0</v>
      </c>
      <c r="J517">
        <f>IF(C517="SALE",G517*IF(F517="CARTON",_xlfn.XLOOKUP(D517,'ITEM MASTER'!$A:$A,'ITEM MASTER'!$H:$H,1),1),0)</f>
        <v>0</v>
      </c>
      <c r="K517">
        <f>SUMIFS($I$2:I517,$D$2:D517,D517)-SUMIFS($J$2:J517,$D$2:D517,D517)</f>
        <v>0</v>
      </c>
    </row>
    <row r="518" spans="5:11" x14ac:dyDescent="0.3">
      <c r="E518">
        <f>IFERROR(_xlfn.XLOOKUP(D518,'ITEM MASTER'!$A:$A,'ITEM MASTER'!$B:$B,""),"")</f>
        <v>0</v>
      </c>
      <c r="F518" t="s">
        <v>44</v>
      </c>
      <c r="H518">
        <f>IFERROR(_xlfn.XLOOKUP(D518,'ITEM MASTER'!$A:$A,'ITEM MASTER'!$I:$I,"")*IF(F518="CARTON",_xlfn.XLOOKUP(D518,'ITEM MASTER'!$A:$A,'ITEM MASTER'!$H:$H,1),1),"")</f>
        <v>0</v>
      </c>
      <c r="I518">
        <f>IF(OR(C518="PURCHASE",C518="OPENING"),G518*IF(F518="CARTON",_xlfn.XLOOKUP(D518,'ITEM MASTER'!$A:$A,'ITEM MASTER'!$H:$H,1),1),0)</f>
        <v>0</v>
      </c>
      <c r="J518">
        <f>IF(C518="SALE",G518*IF(F518="CARTON",_xlfn.XLOOKUP(D518,'ITEM MASTER'!$A:$A,'ITEM MASTER'!$H:$H,1),1),0)</f>
        <v>0</v>
      </c>
      <c r="K518">
        <f>SUMIFS($I$2:I518,$D$2:D518,D518)-SUMIFS($J$2:J518,$D$2:D518,D518)</f>
        <v>0</v>
      </c>
    </row>
    <row r="519" spans="5:11" x14ac:dyDescent="0.3">
      <c r="E519">
        <f>IFERROR(_xlfn.XLOOKUP(D519,'ITEM MASTER'!$A:$A,'ITEM MASTER'!$B:$B,""),"")</f>
        <v>0</v>
      </c>
      <c r="F519" t="s">
        <v>44</v>
      </c>
      <c r="H519">
        <f>IFERROR(_xlfn.XLOOKUP(D519,'ITEM MASTER'!$A:$A,'ITEM MASTER'!$I:$I,"")*IF(F519="CARTON",_xlfn.XLOOKUP(D519,'ITEM MASTER'!$A:$A,'ITEM MASTER'!$H:$H,1),1),"")</f>
        <v>0</v>
      </c>
      <c r="I519">
        <f>IF(OR(C519="PURCHASE",C519="OPENING"),G519*IF(F519="CARTON",_xlfn.XLOOKUP(D519,'ITEM MASTER'!$A:$A,'ITEM MASTER'!$H:$H,1),1),0)</f>
        <v>0</v>
      </c>
      <c r="J519">
        <f>IF(C519="SALE",G519*IF(F519="CARTON",_xlfn.XLOOKUP(D519,'ITEM MASTER'!$A:$A,'ITEM MASTER'!$H:$H,1),1),0)</f>
        <v>0</v>
      </c>
      <c r="K519">
        <f>SUMIFS($I$2:I519,$D$2:D519,D519)-SUMIFS($J$2:J519,$D$2:D519,D519)</f>
        <v>0</v>
      </c>
    </row>
    <row r="520" spans="5:11" x14ac:dyDescent="0.3">
      <c r="E520">
        <f>IFERROR(_xlfn.XLOOKUP(D520,'ITEM MASTER'!$A:$A,'ITEM MASTER'!$B:$B,""),"")</f>
        <v>0</v>
      </c>
      <c r="F520" t="s">
        <v>44</v>
      </c>
      <c r="H520">
        <f>IFERROR(_xlfn.XLOOKUP(D520,'ITEM MASTER'!$A:$A,'ITEM MASTER'!$I:$I,"")*IF(F520="CARTON",_xlfn.XLOOKUP(D520,'ITEM MASTER'!$A:$A,'ITEM MASTER'!$H:$H,1),1),"")</f>
        <v>0</v>
      </c>
      <c r="I520">
        <f>IF(OR(C520="PURCHASE",C520="OPENING"),G520*IF(F520="CARTON",_xlfn.XLOOKUP(D520,'ITEM MASTER'!$A:$A,'ITEM MASTER'!$H:$H,1),1),0)</f>
        <v>0</v>
      </c>
      <c r="J520">
        <f>IF(C520="SALE",G520*IF(F520="CARTON",_xlfn.XLOOKUP(D520,'ITEM MASTER'!$A:$A,'ITEM MASTER'!$H:$H,1),1),0)</f>
        <v>0</v>
      </c>
      <c r="K520">
        <f>SUMIFS($I$2:I520,$D$2:D520,D520)-SUMIFS($J$2:J520,$D$2:D520,D520)</f>
        <v>0</v>
      </c>
    </row>
    <row r="521" spans="5:11" x14ac:dyDescent="0.3">
      <c r="E521">
        <f>IFERROR(_xlfn.XLOOKUP(D521,'ITEM MASTER'!$A:$A,'ITEM MASTER'!$B:$B,""),"")</f>
        <v>0</v>
      </c>
      <c r="F521" t="s">
        <v>44</v>
      </c>
      <c r="H521">
        <f>IFERROR(_xlfn.XLOOKUP(D521,'ITEM MASTER'!$A:$A,'ITEM MASTER'!$I:$I,"")*IF(F521="CARTON",_xlfn.XLOOKUP(D521,'ITEM MASTER'!$A:$A,'ITEM MASTER'!$H:$H,1),1),"")</f>
        <v>0</v>
      </c>
      <c r="I521">
        <f>IF(OR(C521="PURCHASE",C521="OPENING"),G521*IF(F521="CARTON",_xlfn.XLOOKUP(D521,'ITEM MASTER'!$A:$A,'ITEM MASTER'!$H:$H,1),1),0)</f>
        <v>0</v>
      </c>
      <c r="J521">
        <f>IF(C521="SALE",G521*IF(F521="CARTON",_xlfn.XLOOKUP(D521,'ITEM MASTER'!$A:$A,'ITEM MASTER'!$H:$H,1),1),0)</f>
        <v>0</v>
      </c>
      <c r="K521">
        <f>SUMIFS($I$2:I521,$D$2:D521,D521)-SUMIFS($J$2:J521,$D$2:D521,D521)</f>
        <v>0</v>
      </c>
    </row>
    <row r="522" spans="5:11" x14ac:dyDescent="0.3">
      <c r="E522">
        <f>IFERROR(_xlfn.XLOOKUP(D522,'ITEM MASTER'!$A:$A,'ITEM MASTER'!$B:$B,""),"")</f>
        <v>0</v>
      </c>
      <c r="F522" t="s">
        <v>44</v>
      </c>
      <c r="H522">
        <f>IFERROR(_xlfn.XLOOKUP(D522,'ITEM MASTER'!$A:$A,'ITEM MASTER'!$I:$I,"")*IF(F522="CARTON",_xlfn.XLOOKUP(D522,'ITEM MASTER'!$A:$A,'ITEM MASTER'!$H:$H,1),1),"")</f>
        <v>0</v>
      </c>
      <c r="I522">
        <f>IF(OR(C522="PURCHASE",C522="OPENING"),G522*IF(F522="CARTON",_xlfn.XLOOKUP(D522,'ITEM MASTER'!$A:$A,'ITEM MASTER'!$H:$H,1),1),0)</f>
        <v>0</v>
      </c>
      <c r="J522">
        <f>IF(C522="SALE",G522*IF(F522="CARTON",_xlfn.XLOOKUP(D522,'ITEM MASTER'!$A:$A,'ITEM MASTER'!$H:$H,1),1),0)</f>
        <v>0</v>
      </c>
      <c r="K522">
        <f>SUMIFS($I$2:I522,$D$2:D522,D522)-SUMIFS($J$2:J522,$D$2:D522,D522)</f>
        <v>0</v>
      </c>
    </row>
    <row r="523" spans="5:11" x14ac:dyDescent="0.3">
      <c r="E523">
        <f>IFERROR(_xlfn.XLOOKUP(D523,'ITEM MASTER'!$A:$A,'ITEM MASTER'!$B:$B,""),"")</f>
        <v>0</v>
      </c>
      <c r="F523" t="s">
        <v>44</v>
      </c>
      <c r="H523">
        <f>IFERROR(_xlfn.XLOOKUP(D523,'ITEM MASTER'!$A:$A,'ITEM MASTER'!$I:$I,"")*IF(F523="CARTON",_xlfn.XLOOKUP(D523,'ITEM MASTER'!$A:$A,'ITEM MASTER'!$H:$H,1),1),"")</f>
        <v>0</v>
      </c>
      <c r="I523">
        <f>IF(OR(C523="PURCHASE",C523="OPENING"),G523*IF(F523="CARTON",_xlfn.XLOOKUP(D523,'ITEM MASTER'!$A:$A,'ITEM MASTER'!$H:$H,1),1),0)</f>
        <v>0</v>
      </c>
      <c r="J523">
        <f>IF(C523="SALE",G523*IF(F523="CARTON",_xlfn.XLOOKUP(D523,'ITEM MASTER'!$A:$A,'ITEM MASTER'!$H:$H,1),1),0)</f>
        <v>0</v>
      </c>
      <c r="K523">
        <f>SUMIFS($I$2:I523,$D$2:D523,D523)-SUMIFS($J$2:J523,$D$2:D523,D523)</f>
        <v>0</v>
      </c>
    </row>
    <row r="524" spans="5:11" x14ac:dyDescent="0.3">
      <c r="E524">
        <f>IFERROR(_xlfn.XLOOKUP(D524,'ITEM MASTER'!$A:$A,'ITEM MASTER'!$B:$B,""),"")</f>
        <v>0</v>
      </c>
      <c r="F524" t="s">
        <v>44</v>
      </c>
      <c r="H524">
        <f>IFERROR(_xlfn.XLOOKUP(D524,'ITEM MASTER'!$A:$A,'ITEM MASTER'!$I:$I,"")*IF(F524="CARTON",_xlfn.XLOOKUP(D524,'ITEM MASTER'!$A:$A,'ITEM MASTER'!$H:$H,1),1),"")</f>
        <v>0</v>
      </c>
      <c r="I524">
        <f>IF(OR(C524="PURCHASE",C524="OPENING"),G524*IF(F524="CARTON",_xlfn.XLOOKUP(D524,'ITEM MASTER'!$A:$A,'ITEM MASTER'!$H:$H,1),1),0)</f>
        <v>0</v>
      </c>
      <c r="J524">
        <f>IF(C524="SALE",G524*IF(F524="CARTON",_xlfn.XLOOKUP(D524,'ITEM MASTER'!$A:$A,'ITEM MASTER'!$H:$H,1),1),0)</f>
        <v>0</v>
      </c>
      <c r="K524">
        <f>SUMIFS($I$2:I524,$D$2:D524,D524)-SUMIFS($J$2:J524,$D$2:D524,D524)</f>
        <v>0</v>
      </c>
    </row>
    <row r="525" spans="5:11" x14ac:dyDescent="0.3">
      <c r="E525">
        <f>IFERROR(_xlfn.XLOOKUP(D525,'ITEM MASTER'!$A:$A,'ITEM MASTER'!$B:$B,""),"")</f>
        <v>0</v>
      </c>
      <c r="F525" t="s">
        <v>44</v>
      </c>
      <c r="H525">
        <f>IFERROR(_xlfn.XLOOKUP(D525,'ITEM MASTER'!$A:$A,'ITEM MASTER'!$I:$I,"")*IF(F525="CARTON",_xlfn.XLOOKUP(D525,'ITEM MASTER'!$A:$A,'ITEM MASTER'!$H:$H,1),1),"")</f>
        <v>0</v>
      </c>
      <c r="I525">
        <f>IF(OR(C525="PURCHASE",C525="OPENING"),G525*IF(F525="CARTON",_xlfn.XLOOKUP(D525,'ITEM MASTER'!$A:$A,'ITEM MASTER'!$H:$H,1),1),0)</f>
        <v>0</v>
      </c>
      <c r="J525">
        <f>IF(C525="SALE",G525*IF(F525="CARTON",_xlfn.XLOOKUP(D525,'ITEM MASTER'!$A:$A,'ITEM MASTER'!$H:$H,1),1),0)</f>
        <v>0</v>
      </c>
      <c r="K525">
        <f>SUMIFS($I$2:I525,$D$2:D525,D525)-SUMIFS($J$2:J525,$D$2:D525,D525)</f>
        <v>0</v>
      </c>
    </row>
    <row r="526" spans="5:11" x14ac:dyDescent="0.3">
      <c r="E526">
        <f>IFERROR(_xlfn.XLOOKUP(D526,'ITEM MASTER'!$A:$A,'ITEM MASTER'!$B:$B,""),"")</f>
        <v>0</v>
      </c>
      <c r="F526" t="s">
        <v>44</v>
      </c>
      <c r="H526">
        <f>IFERROR(_xlfn.XLOOKUP(D526,'ITEM MASTER'!$A:$A,'ITEM MASTER'!$I:$I,"")*IF(F526="CARTON",_xlfn.XLOOKUP(D526,'ITEM MASTER'!$A:$A,'ITEM MASTER'!$H:$H,1),1),"")</f>
        <v>0</v>
      </c>
      <c r="I526">
        <f>IF(OR(C526="PURCHASE",C526="OPENING"),G526*IF(F526="CARTON",_xlfn.XLOOKUP(D526,'ITEM MASTER'!$A:$A,'ITEM MASTER'!$H:$H,1),1),0)</f>
        <v>0</v>
      </c>
      <c r="J526">
        <f>IF(C526="SALE",G526*IF(F526="CARTON",_xlfn.XLOOKUP(D526,'ITEM MASTER'!$A:$A,'ITEM MASTER'!$H:$H,1),1),0)</f>
        <v>0</v>
      </c>
      <c r="K526">
        <f>SUMIFS($I$2:I526,$D$2:D526,D526)-SUMIFS($J$2:J526,$D$2:D526,D526)</f>
        <v>0</v>
      </c>
    </row>
    <row r="527" spans="5:11" x14ac:dyDescent="0.3">
      <c r="E527">
        <f>IFERROR(_xlfn.XLOOKUP(D527,'ITEM MASTER'!$A:$A,'ITEM MASTER'!$B:$B,""),"")</f>
        <v>0</v>
      </c>
      <c r="F527" t="s">
        <v>44</v>
      </c>
      <c r="H527">
        <f>IFERROR(_xlfn.XLOOKUP(D527,'ITEM MASTER'!$A:$A,'ITEM MASTER'!$I:$I,"")*IF(F527="CARTON",_xlfn.XLOOKUP(D527,'ITEM MASTER'!$A:$A,'ITEM MASTER'!$H:$H,1),1),"")</f>
        <v>0</v>
      </c>
      <c r="I527">
        <f>IF(OR(C527="PURCHASE",C527="OPENING"),G527*IF(F527="CARTON",_xlfn.XLOOKUP(D527,'ITEM MASTER'!$A:$A,'ITEM MASTER'!$H:$H,1),1),0)</f>
        <v>0</v>
      </c>
      <c r="J527">
        <f>IF(C527="SALE",G527*IF(F527="CARTON",_xlfn.XLOOKUP(D527,'ITEM MASTER'!$A:$A,'ITEM MASTER'!$H:$H,1),1),0)</f>
        <v>0</v>
      </c>
      <c r="K527">
        <f>SUMIFS($I$2:I527,$D$2:D527,D527)-SUMIFS($J$2:J527,$D$2:D527,D527)</f>
        <v>0</v>
      </c>
    </row>
    <row r="528" spans="5:11" x14ac:dyDescent="0.3">
      <c r="E528">
        <f>IFERROR(_xlfn.XLOOKUP(D528,'ITEM MASTER'!$A:$A,'ITEM MASTER'!$B:$B,""),"")</f>
        <v>0</v>
      </c>
      <c r="F528" t="s">
        <v>44</v>
      </c>
      <c r="H528">
        <f>IFERROR(_xlfn.XLOOKUP(D528,'ITEM MASTER'!$A:$A,'ITEM MASTER'!$I:$I,"")*IF(F528="CARTON",_xlfn.XLOOKUP(D528,'ITEM MASTER'!$A:$A,'ITEM MASTER'!$H:$H,1),1),"")</f>
        <v>0</v>
      </c>
      <c r="I528">
        <f>IF(OR(C528="PURCHASE",C528="OPENING"),G528*IF(F528="CARTON",_xlfn.XLOOKUP(D528,'ITEM MASTER'!$A:$A,'ITEM MASTER'!$H:$H,1),1),0)</f>
        <v>0</v>
      </c>
      <c r="J528">
        <f>IF(C528="SALE",G528*IF(F528="CARTON",_xlfn.XLOOKUP(D528,'ITEM MASTER'!$A:$A,'ITEM MASTER'!$H:$H,1),1),0)</f>
        <v>0</v>
      </c>
      <c r="K528">
        <f>SUMIFS($I$2:I528,$D$2:D528,D528)-SUMIFS($J$2:J528,$D$2:D528,D528)</f>
        <v>0</v>
      </c>
    </row>
    <row r="529" spans="5:11" x14ac:dyDescent="0.3">
      <c r="E529">
        <f>IFERROR(_xlfn.XLOOKUP(D529,'ITEM MASTER'!$A:$A,'ITEM MASTER'!$B:$B,""),"")</f>
        <v>0</v>
      </c>
      <c r="F529" t="s">
        <v>44</v>
      </c>
      <c r="H529">
        <f>IFERROR(_xlfn.XLOOKUP(D529,'ITEM MASTER'!$A:$A,'ITEM MASTER'!$I:$I,"")*IF(F529="CARTON",_xlfn.XLOOKUP(D529,'ITEM MASTER'!$A:$A,'ITEM MASTER'!$H:$H,1),1),"")</f>
        <v>0</v>
      </c>
      <c r="I529">
        <f>IF(OR(C529="PURCHASE",C529="OPENING"),G529*IF(F529="CARTON",_xlfn.XLOOKUP(D529,'ITEM MASTER'!$A:$A,'ITEM MASTER'!$H:$H,1),1),0)</f>
        <v>0</v>
      </c>
      <c r="J529">
        <f>IF(C529="SALE",G529*IF(F529="CARTON",_xlfn.XLOOKUP(D529,'ITEM MASTER'!$A:$A,'ITEM MASTER'!$H:$H,1),1),0)</f>
        <v>0</v>
      </c>
      <c r="K529">
        <f>SUMIFS($I$2:I529,$D$2:D529,D529)-SUMIFS($J$2:J529,$D$2:D529,D529)</f>
        <v>0</v>
      </c>
    </row>
    <row r="530" spans="5:11" x14ac:dyDescent="0.3">
      <c r="E530">
        <f>IFERROR(_xlfn.XLOOKUP(D530,'ITEM MASTER'!$A:$A,'ITEM MASTER'!$B:$B,""),"")</f>
        <v>0</v>
      </c>
      <c r="F530" t="s">
        <v>44</v>
      </c>
      <c r="H530">
        <f>IFERROR(_xlfn.XLOOKUP(D530,'ITEM MASTER'!$A:$A,'ITEM MASTER'!$I:$I,"")*IF(F530="CARTON",_xlfn.XLOOKUP(D530,'ITEM MASTER'!$A:$A,'ITEM MASTER'!$H:$H,1),1),"")</f>
        <v>0</v>
      </c>
      <c r="I530">
        <f>IF(OR(C530="PURCHASE",C530="OPENING"),G530*IF(F530="CARTON",_xlfn.XLOOKUP(D530,'ITEM MASTER'!$A:$A,'ITEM MASTER'!$H:$H,1),1),0)</f>
        <v>0</v>
      </c>
      <c r="J530">
        <f>IF(C530="SALE",G530*IF(F530="CARTON",_xlfn.XLOOKUP(D530,'ITEM MASTER'!$A:$A,'ITEM MASTER'!$H:$H,1),1),0)</f>
        <v>0</v>
      </c>
      <c r="K530">
        <f>SUMIFS($I$2:I530,$D$2:D530,D530)-SUMIFS($J$2:J530,$D$2:D530,D530)</f>
        <v>0</v>
      </c>
    </row>
    <row r="531" spans="5:11" x14ac:dyDescent="0.3">
      <c r="E531">
        <f>IFERROR(_xlfn.XLOOKUP(D531,'ITEM MASTER'!$A:$A,'ITEM MASTER'!$B:$B,""),"")</f>
        <v>0</v>
      </c>
      <c r="F531" t="s">
        <v>44</v>
      </c>
      <c r="H531">
        <f>IFERROR(_xlfn.XLOOKUP(D531,'ITEM MASTER'!$A:$A,'ITEM MASTER'!$I:$I,"")*IF(F531="CARTON",_xlfn.XLOOKUP(D531,'ITEM MASTER'!$A:$A,'ITEM MASTER'!$H:$H,1),1),"")</f>
        <v>0</v>
      </c>
      <c r="I531">
        <f>IF(OR(C531="PURCHASE",C531="OPENING"),G531*IF(F531="CARTON",_xlfn.XLOOKUP(D531,'ITEM MASTER'!$A:$A,'ITEM MASTER'!$H:$H,1),1),0)</f>
        <v>0</v>
      </c>
      <c r="J531">
        <f>IF(C531="SALE",G531*IF(F531="CARTON",_xlfn.XLOOKUP(D531,'ITEM MASTER'!$A:$A,'ITEM MASTER'!$H:$H,1),1),0)</f>
        <v>0</v>
      </c>
      <c r="K531">
        <f>SUMIFS($I$2:I531,$D$2:D531,D531)-SUMIFS($J$2:J531,$D$2:D531,D531)</f>
        <v>0</v>
      </c>
    </row>
    <row r="532" spans="5:11" x14ac:dyDescent="0.3">
      <c r="E532">
        <f>IFERROR(_xlfn.XLOOKUP(D532,'ITEM MASTER'!$A:$A,'ITEM MASTER'!$B:$B,""),"")</f>
        <v>0</v>
      </c>
      <c r="F532" t="s">
        <v>44</v>
      </c>
      <c r="H532">
        <f>IFERROR(_xlfn.XLOOKUP(D532,'ITEM MASTER'!$A:$A,'ITEM MASTER'!$I:$I,"")*IF(F532="CARTON",_xlfn.XLOOKUP(D532,'ITEM MASTER'!$A:$A,'ITEM MASTER'!$H:$H,1),1),"")</f>
        <v>0</v>
      </c>
      <c r="I532">
        <f>IF(OR(C532="PURCHASE",C532="OPENING"),G532*IF(F532="CARTON",_xlfn.XLOOKUP(D532,'ITEM MASTER'!$A:$A,'ITEM MASTER'!$H:$H,1),1),0)</f>
        <v>0</v>
      </c>
      <c r="J532">
        <f>IF(C532="SALE",G532*IF(F532="CARTON",_xlfn.XLOOKUP(D532,'ITEM MASTER'!$A:$A,'ITEM MASTER'!$H:$H,1),1),0)</f>
        <v>0</v>
      </c>
      <c r="K532">
        <f>SUMIFS($I$2:I532,$D$2:D532,D532)-SUMIFS($J$2:J532,$D$2:D532,D532)</f>
        <v>0</v>
      </c>
    </row>
    <row r="533" spans="5:11" x14ac:dyDescent="0.3">
      <c r="E533">
        <f>IFERROR(_xlfn.XLOOKUP(D533,'ITEM MASTER'!$A:$A,'ITEM MASTER'!$B:$B,""),"")</f>
        <v>0</v>
      </c>
      <c r="F533" t="s">
        <v>44</v>
      </c>
      <c r="H533">
        <f>IFERROR(_xlfn.XLOOKUP(D533,'ITEM MASTER'!$A:$A,'ITEM MASTER'!$I:$I,"")*IF(F533="CARTON",_xlfn.XLOOKUP(D533,'ITEM MASTER'!$A:$A,'ITEM MASTER'!$H:$H,1),1),"")</f>
        <v>0</v>
      </c>
      <c r="I533">
        <f>IF(OR(C533="PURCHASE",C533="OPENING"),G533*IF(F533="CARTON",_xlfn.XLOOKUP(D533,'ITEM MASTER'!$A:$A,'ITEM MASTER'!$H:$H,1),1),0)</f>
        <v>0</v>
      </c>
      <c r="J533">
        <f>IF(C533="SALE",G533*IF(F533="CARTON",_xlfn.XLOOKUP(D533,'ITEM MASTER'!$A:$A,'ITEM MASTER'!$H:$H,1),1),0)</f>
        <v>0</v>
      </c>
      <c r="K533">
        <f>SUMIFS($I$2:I533,$D$2:D533,D533)-SUMIFS($J$2:J533,$D$2:D533,D533)</f>
        <v>0</v>
      </c>
    </row>
    <row r="534" spans="5:11" x14ac:dyDescent="0.3">
      <c r="E534">
        <f>IFERROR(_xlfn.XLOOKUP(D534,'ITEM MASTER'!$A:$A,'ITEM MASTER'!$B:$B,""),"")</f>
        <v>0</v>
      </c>
      <c r="F534" t="s">
        <v>44</v>
      </c>
      <c r="H534">
        <f>IFERROR(_xlfn.XLOOKUP(D534,'ITEM MASTER'!$A:$A,'ITEM MASTER'!$I:$I,"")*IF(F534="CARTON",_xlfn.XLOOKUP(D534,'ITEM MASTER'!$A:$A,'ITEM MASTER'!$H:$H,1),1),"")</f>
        <v>0</v>
      </c>
      <c r="I534">
        <f>IF(OR(C534="PURCHASE",C534="OPENING"),G534*IF(F534="CARTON",_xlfn.XLOOKUP(D534,'ITEM MASTER'!$A:$A,'ITEM MASTER'!$H:$H,1),1),0)</f>
        <v>0</v>
      </c>
      <c r="J534">
        <f>IF(C534="SALE",G534*IF(F534="CARTON",_xlfn.XLOOKUP(D534,'ITEM MASTER'!$A:$A,'ITEM MASTER'!$H:$H,1),1),0)</f>
        <v>0</v>
      </c>
      <c r="K534">
        <f>SUMIFS($I$2:I534,$D$2:D534,D534)-SUMIFS($J$2:J534,$D$2:D534,D534)</f>
        <v>0</v>
      </c>
    </row>
    <row r="535" spans="5:11" x14ac:dyDescent="0.3">
      <c r="E535">
        <f>IFERROR(_xlfn.XLOOKUP(D535,'ITEM MASTER'!$A:$A,'ITEM MASTER'!$B:$B,""),"")</f>
        <v>0</v>
      </c>
      <c r="F535" t="s">
        <v>44</v>
      </c>
      <c r="H535">
        <f>IFERROR(_xlfn.XLOOKUP(D535,'ITEM MASTER'!$A:$A,'ITEM MASTER'!$I:$I,"")*IF(F535="CARTON",_xlfn.XLOOKUP(D535,'ITEM MASTER'!$A:$A,'ITEM MASTER'!$H:$H,1),1),"")</f>
        <v>0</v>
      </c>
      <c r="I535">
        <f>IF(OR(C535="PURCHASE",C535="OPENING"),G535*IF(F535="CARTON",_xlfn.XLOOKUP(D535,'ITEM MASTER'!$A:$A,'ITEM MASTER'!$H:$H,1),1),0)</f>
        <v>0</v>
      </c>
      <c r="J535">
        <f>IF(C535="SALE",G535*IF(F535="CARTON",_xlfn.XLOOKUP(D535,'ITEM MASTER'!$A:$A,'ITEM MASTER'!$H:$H,1),1),0)</f>
        <v>0</v>
      </c>
      <c r="K535">
        <f>SUMIFS($I$2:I535,$D$2:D535,D535)-SUMIFS($J$2:J535,$D$2:D535,D535)</f>
        <v>0</v>
      </c>
    </row>
    <row r="536" spans="5:11" x14ac:dyDescent="0.3">
      <c r="E536">
        <f>IFERROR(_xlfn.XLOOKUP(D536,'ITEM MASTER'!$A:$A,'ITEM MASTER'!$B:$B,""),"")</f>
        <v>0</v>
      </c>
      <c r="F536" t="s">
        <v>44</v>
      </c>
      <c r="H536">
        <f>IFERROR(_xlfn.XLOOKUP(D536,'ITEM MASTER'!$A:$A,'ITEM MASTER'!$I:$I,"")*IF(F536="CARTON",_xlfn.XLOOKUP(D536,'ITEM MASTER'!$A:$A,'ITEM MASTER'!$H:$H,1),1),"")</f>
        <v>0</v>
      </c>
      <c r="I536">
        <f>IF(OR(C536="PURCHASE",C536="OPENING"),G536*IF(F536="CARTON",_xlfn.XLOOKUP(D536,'ITEM MASTER'!$A:$A,'ITEM MASTER'!$H:$H,1),1),0)</f>
        <v>0</v>
      </c>
      <c r="J536">
        <f>IF(C536="SALE",G536*IF(F536="CARTON",_xlfn.XLOOKUP(D536,'ITEM MASTER'!$A:$A,'ITEM MASTER'!$H:$H,1),1),0)</f>
        <v>0</v>
      </c>
      <c r="K536">
        <f>SUMIFS($I$2:I536,$D$2:D536,D536)-SUMIFS($J$2:J536,$D$2:D536,D536)</f>
        <v>0</v>
      </c>
    </row>
    <row r="537" spans="5:11" x14ac:dyDescent="0.3">
      <c r="E537">
        <f>IFERROR(_xlfn.XLOOKUP(D537,'ITEM MASTER'!$A:$A,'ITEM MASTER'!$B:$B,""),"")</f>
        <v>0</v>
      </c>
      <c r="F537" t="s">
        <v>44</v>
      </c>
      <c r="H537">
        <f>IFERROR(_xlfn.XLOOKUP(D537,'ITEM MASTER'!$A:$A,'ITEM MASTER'!$I:$I,"")*IF(F537="CARTON",_xlfn.XLOOKUP(D537,'ITEM MASTER'!$A:$A,'ITEM MASTER'!$H:$H,1),1),"")</f>
        <v>0</v>
      </c>
      <c r="I537">
        <f>IF(OR(C537="PURCHASE",C537="OPENING"),G537*IF(F537="CARTON",_xlfn.XLOOKUP(D537,'ITEM MASTER'!$A:$A,'ITEM MASTER'!$H:$H,1),1),0)</f>
        <v>0</v>
      </c>
      <c r="J537">
        <f>IF(C537="SALE",G537*IF(F537="CARTON",_xlfn.XLOOKUP(D537,'ITEM MASTER'!$A:$A,'ITEM MASTER'!$H:$H,1),1),0)</f>
        <v>0</v>
      </c>
      <c r="K537">
        <f>SUMIFS($I$2:I537,$D$2:D537,D537)-SUMIFS($J$2:J537,$D$2:D537,D537)</f>
        <v>0</v>
      </c>
    </row>
    <row r="538" spans="5:11" x14ac:dyDescent="0.3">
      <c r="E538">
        <f>IFERROR(_xlfn.XLOOKUP(D538,'ITEM MASTER'!$A:$A,'ITEM MASTER'!$B:$B,""),"")</f>
        <v>0</v>
      </c>
      <c r="F538" t="s">
        <v>44</v>
      </c>
      <c r="H538">
        <f>IFERROR(_xlfn.XLOOKUP(D538,'ITEM MASTER'!$A:$A,'ITEM MASTER'!$I:$I,"")*IF(F538="CARTON",_xlfn.XLOOKUP(D538,'ITEM MASTER'!$A:$A,'ITEM MASTER'!$H:$H,1),1),"")</f>
        <v>0</v>
      </c>
      <c r="I538">
        <f>IF(OR(C538="PURCHASE",C538="OPENING"),G538*IF(F538="CARTON",_xlfn.XLOOKUP(D538,'ITEM MASTER'!$A:$A,'ITEM MASTER'!$H:$H,1),1),0)</f>
        <v>0</v>
      </c>
      <c r="J538">
        <f>IF(C538="SALE",G538*IF(F538="CARTON",_xlfn.XLOOKUP(D538,'ITEM MASTER'!$A:$A,'ITEM MASTER'!$H:$H,1),1),0)</f>
        <v>0</v>
      </c>
      <c r="K538">
        <f>SUMIFS($I$2:I538,$D$2:D538,D538)-SUMIFS($J$2:J538,$D$2:D538,D538)</f>
        <v>0</v>
      </c>
    </row>
    <row r="539" spans="5:11" x14ac:dyDescent="0.3">
      <c r="E539">
        <f>IFERROR(_xlfn.XLOOKUP(D539,'ITEM MASTER'!$A:$A,'ITEM MASTER'!$B:$B,""),"")</f>
        <v>0</v>
      </c>
      <c r="F539" t="s">
        <v>44</v>
      </c>
      <c r="H539">
        <f>IFERROR(_xlfn.XLOOKUP(D539,'ITEM MASTER'!$A:$A,'ITEM MASTER'!$I:$I,"")*IF(F539="CARTON",_xlfn.XLOOKUP(D539,'ITEM MASTER'!$A:$A,'ITEM MASTER'!$H:$H,1),1),"")</f>
        <v>0</v>
      </c>
      <c r="I539">
        <f>IF(OR(C539="PURCHASE",C539="OPENING"),G539*IF(F539="CARTON",_xlfn.XLOOKUP(D539,'ITEM MASTER'!$A:$A,'ITEM MASTER'!$H:$H,1),1),0)</f>
        <v>0</v>
      </c>
      <c r="J539">
        <f>IF(C539="SALE",G539*IF(F539="CARTON",_xlfn.XLOOKUP(D539,'ITEM MASTER'!$A:$A,'ITEM MASTER'!$H:$H,1),1),0)</f>
        <v>0</v>
      </c>
      <c r="K539">
        <f>SUMIFS($I$2:I539,$D$2:D539,D539)-SUMIFS($J$2:J539,$D$2:D539,D539)</f>
        <v>0</v>
      </c>
    </row>
    <row r="540" spans="5:11" x14ac:dyDescent="0.3">
      <c r="E540">
        <f>IFERROR(_xlfn.XLOOKUP(D540,'ITEM MASTER'!$A:$A,'ITEM MASTER'!$B:$B,""),"")</f>
        <v>0</v>
      </c>
      <c r="F540" t="s">
        <v>44</v>
      </c>
      <c r="H540">
        <f>IFERROR(_xlfn.XLOOKUP(D540,'ITEM MASTER'!$A:$A,'ITEM MASTER'!$I:$I,"")*IF(F540="CARTON",_xlfn.XLOOKUP(D540,'ITEM MASTER'!$A:$A,'ITEM MASTER'!$H:$H,1),1),"")</f>
        <v>0</v>
      </c>
      <c r="I540">
        <f>IF(OR(C540="PURCHASE",C540="OPENING"),G540*IF(F540="CARTON",_xlfn.XLOOKUP(D540,'ITEM MASTER'!$A:$A,'ITEM MASTER'!$H:$H,1),1),0)</f>
        <v>0</v>
      </c>
      <c r="J540">
        <f>IF(C540="SALE",G540*IF(F540="CARTON",_xlfn.XLOOKUP(D540,'ITEM MASTER'!$A:$A,'ITEM MASTER'!$H:$H,1),1),0)</f>
        <v>0</v>
      </c>
      <c r="K540">
        <f>SUMIFS($I$2:I540,$D$2:D540,D540)-SUMIFS($J$2:J540,$D$2:D540,D540)</f>
        <v>0</v>
      </c>
    </row>
    <row r="541" spans="5:11" x14ac:dyDescent="0.3">
      <c r="E541">
        <f>IFERROR(_xlfn.XLOOKUP(D541,'ITEM MASTER'!$A:$A,'ITEM MASTER'!$B:$B,""),"")</f>
        <v>0</v>
      </c>
      <c r="F541" t="s">
        <v>44</v>
      </c>
      <c r="H541">
        <f>IFERROR(_xlfn.XLOOKUP(D541,'ITEM MASTER'!$A:$A,'ITEM MASTER'!$I:$I,"")*IF(F541="CARTON",_xlfn.XLOOKUP(D541,'ITEM MASTER'!$A:$A,'ITEM MASTER'!$H:$H,1),1),"")</f>
        <v>0</v>
      </c>
      <c r="I541">
        <f>IF(OR(C541="PURCHASE",C541="OPENING"),G541*IF(F541="CARTON",_xlfn.XLOOKUP(D541,'ITEM MASTER'!$A:$A,'ITEM MASTER'!$H:$H,1),1),0)</f>
        <v>0</v>
      </c>
      <c r="J541">
        <f>IF(C541="SALE",G541*IF(F541="CARTON",_xlfn.XLOOKUP(D541,'ITEM MASTER'!$A:$A,'ITEM MASTER'!$H:$H,1),1),0)</f>
        <v>0</v>
      </c>
      <c r="K541">
        <f>SUMIFS($I$2:I541,$D$2:D541,D541)-SUMIFS($J$2:J541,$D$2:D541,D541)</f>
        <v>0</v>
      </c>
    </row>
    <row r="542" spans="5:11" x14ac:dyDescent="0.3">
      <c r="E542">
        <f>IFERROR(_xlfn.XLOOKUP(D542,'ITEM MASTER'!$A:$A,'ITEM MASTER'!$B:$B,""),"")</f>
        <v>0</v>
      </c>
      <c r="F542" t="s">
        <v>44</v>
      </c>
      <c r="H542">
        <f>IFERROR(_xlfn.XLOOKUP(D542,'ITEM MASTER'!$A:$A,'ITEM MASTER'!$I:$I,"")*IF(F542="CARTON",_xlfn.XLOOKUP(D542,'ITEM MASTER'!$A:$A,'ITEM MASTER'!$H:$H,1),1),"")</f>
        <v>0</v>
      </c>
      <c r="I542">
        <f>IF(OR(C542="PURCHASE",C542="OPENING"),G542*IF(F542="CARTON",_xlfn.XLOOKUP(D542,'ITEM MASTER'!$A:$A,'ITEM MASTER'!$H:$H,1),1),0)</f>
        <v>0</v>
      </c>
      <c r="J542">
        <f>IF(C542="SALE",G542*IF(F542="CARTON",_xlfn.XLOOKUP(D542,'ITEM MASTER'!$A:$A,'ITEM MASTER'!$H:$H,1),1),0)</f>
        <v>0</v>
      </c>
      <c r="K542">
        <f>SUMIFS($I$2:I542,$D$2:D542,D542)-SUMIFS($J$2:J542,$D$2:D542,D542)</f>
        <v>0</v>
      </c>
    </row>
    <row r="543" spans="5:11" x14ac:dyDescent="0.3">
      <c r="E543">
        <f>IFERROR(_xlfn.XLOOKUP(D543,'ITEM MASTER'!$A:$A,'ITEM MASTER'!$B:$B,""),"")</f>
        <v>0</v>
      </c>
      <c r="F543" t="s">
        <v>44</v>
      </c>
      <c r="H543">
        <f>IFERROR(_xlfn.XLOOKUP(D543,'ITEM MASTER'!$A:$A,'ITEM MASTER'!$I:$I,"")*IF(F543="CARTON",_xlfn.XLOOKUP(D543,'ITEM MASTER'!$A:$A,'ITEM MASTER'!$H:$H,1),1),"")</f>
        <v>0</v>
      </c>
      <c r="I543">
        <f>IF(OR(C543="PURCHASE",C543="OPENING"),G543*IF(F543="CARTON",_xlfn.XLOOKUP(D543,'ITEM MASTER'!$A:$A,'ITEM MASTER'!$H:$H,1),1),0)</f>
        <v>0</v>
      </c>
      <c r="J543">
        <f>IF(C543="SALE",G543*IF(F543="CARTON",_xlfn.XLOOKUP(D543,'ITEM MASTER'!$A:$A,'ITEM MASTER'!$H:$H,1),1),0)</f>
        <v>0</v>
      </c>
      <c r="K543">
        <f>SUMIFS($I$2:I543,$D$2:D543,D543)-SUMIFS($J$2:J543,$D$2:D543,D543)</f>
        <v>0</v>
      </c>
    </row>
    <row r="544" spans="5:11" x14ac:dyDescent="0.3">
      <c r="E544">
        <f>IFERROR(_xlfn.XLOOKUP(D544,'ITEM MASTER'!$A:$A,'ITEM MASTER'!$B:$B,""),"")</f>
        <v>0</v>
      </c>
      <c r="F544" t="s">
        <v>44</v>
      </c>
      <c r="H544">
        <f>IFERROR(_xlfn.XLOOKUP(D544,'ITEM MASTER'!$A:$A,'ITEM MASTER'!$I:$I,"")*IF(F544="CARTON",_xlfn.XLOOKUP(D544,'ITEM MASTER'!$A:$A,'ITEM MASTER'!$H:$H,1),1),"")</f>
        <v>0</v>
      </c>
      <c r="I544">
        <f>IF(OR(C544="PURCHASE",C544="OPENING"),G544*IF(F544="CARTON",_xlfn.XLOOKUP(D544,'ITEM MASTER'!$A:$A,'ITEM MASTER'!$H:$H,1),1),0)</f>
        <v>0</v>
      </c>
      <c r="J544">
        <f>IF(C544="SALE",G544*IF(F544="CARTON",_xlfn.XLOOKUP(D544,'ITEM MASTER'!$A:$A,'ITEM MASTER'!$H:$H,1),1),0)</f>
        <v>0</v>
      </c>
      <c r="K544">
        <f>SUMIFS($I$2:I544,$D$2:D544,D544)-SUMIFS($J$2:J544,$D$2:D544,D544)</f>
        <v>0</v>
      </c>
    </row>
    <row r="545" spans="5:11" x14ac:dyDescent="0.3">
      <c r="E545">
        <f>IFERROR(_xlfn.XLOOKUP(D545,'ITEM MASTER'!$A:$A,'ITEM MASTER'!$B:$B,""),"")</f>
        <v>0</v>
      </c>
      <c r="F545" t="s">
        <v>44</v>
      </c>
      <c r="H545">
        <f>IFERROR(_xlfn.XLOOKUP(D545,'ITEM MASTER'!$A:$A,'ITEM MASTER'!$I:$I,"")*IF(F545="CARTON",_xlfn.XLOOKUP(D545,'ITEM MASTER'!$A:$A,'ITEM MASTER'!$H:$H,1),1),"")</f>
        <v>0</v>
      </c>
      <c r="I545">
        <f>IF(OR(C545="PURCHASE",C545="OPENING"),G545*IF(F545="CARTON",_xlfn.XLOOKUP(D545,'ITEM MASTER'!$A:$A,'ITEM MASTER'!$H:$H,1),1),0)</f>
        <v>0</v>
      </c>
      <c r="J545">
        <f>IF(C545="SALE",G545*IF(F545="CARTON",_xlfn.XLOOKUP(D545,'ITEM MASTER'!$A:$A,'ITEM MASTER'!$H:$H,1),1),0)</f>
        <v>0</v>
      </c>
      <c r="K545">
        <f>SUMIFS($I$2:I545,$D$2:D545,D545)-SUMIFS($J$2:J545,$D$2:D545,D545)</f>
        <v>0</v>
      </c>
    </row>
    <row r="546" spans="5:11" x14ac:dyDescent="0.3">
      <c r="E546">
        <f>IFERROR(_xlfn.XLOOKUP(D546,'ITEM MASTER'!$A:$A,'ITEM MASTER'!$B:$B,""),"")</f>
        <v>0</v>
      </c>
      <c r="F546" t="s">
        <v>44</v>
      </c>
      <c r="H546">
        <f>IFERROR(_xlfn.XLOOKUP(D546,'ITEM MASTER'!$A:$A,'ITEM MASTER'!$I:$I,"")*IF(F546="CARTON",_xlfn.XLOOKUP(D546,'ITEM MASTER'!$A:$A,'ITEM MASTER'!$H:$H,1),1),"")</f>
        <v>0</v>
      </c>
      <c r="I546">
        <f>IF(OR(C546="PURCHASE",C546="OPENING"),G546*IF(F546="CARTON",_xlfn.XLOOKUP(D546,'ITEM MASTER'!$A:$A,'ITEM MASTER'!$H:$H,1),1),0)</f>
        <v>0</v>
      </c>
      <c r="J546">
        <f>IF(C546="SALE",G546*IF(F546="CARTON",_xlfn.XLOOKUP(D546,'ITEM MASTER'!$A:$A,'ITEM MASTER'!$H:$H,1),1),0)</f>
        <v>0</v>
      </c>
      <c r="K546">
        <f>SUMIFS($I$2:I546,$D$2:D546,D546)-SUMIFS($J$2:J546,$D$2:D546,D546)</f>
        <v>0</v>
      </c>
    </row>
    <row r="547" spans="5:11" x14ac:dyDescent="0.3">
      <c r="E547">
        <f>IFERROR(_xlfn.XLOOKUP(D547,'ITEM MASTER'!$A:$A,'ITEM MASTER'!$B:$B,""),"")</f>
        <v>0</v>
      </c>
      <c r="F547" t="s">
        <v>44</v>
      </c>
      <c r="H547">
        <f>IFERROR(_xlfn.XLOOKUP(D547,'ITEM MASTER'!$A:$A,'ITEM MASTER'!$I:$I,"")*IF(F547="CARTON",_xlfn.XLOOKUP(D547,'ITEM MASTER'!$A:$A,'ITEM MASTER'!$H:$H,1),1),"")</f>
        <v>0</v>
      </c>
      <c r="I547">
        <f>IF(OR(C547="PURCHASE",C547="OPENING"),G547*IF(F547="CARTON",_xlfn.XLOOKUP(D547,'ITEM MASTER'!$A:$A,'ITEM MASTER'!$H:$H,1),1),0)</f>
        <v>0</v>
      </c>
      <c r="J547">
        <f>IF(C547="SALE",G547*IF(F547="CARTON",_xlfn.XLOOKUP(D547,'ITEM MASTER'!$A:$A,'ITEM MASTER'!$H:$H,1),1),0)</f>
        <v>0</v>
      </c>
      <c r="K547">
        <f>SUMIFS($I$2:I547,$D$2:D547,D547)-SUMIFS($J$2:J547,$D$2:D547,D547)</f>
        <v>0</v>
      </c>
    </row>
    <row r="548" spans="5:11" x14ac:dyDescent="0.3">
      <c r="E548">
        <f>IFERROR(_xlfn.XLOOKUP(D548,'ITEM MASTER'!$A:$A,'ITEM MASTER'!$B:$B,""),"")</f>
        <v>0</v>
      </c>
      <c r="F548" t="s">
        <v>44</v>
      </c>
      <c r="H548">
        <f>IFERROR(_xlfn.XLOOKUP(D548,'ITEM MASTER'!$A:$A,'ITEM MASTER'!$I:$I,"")*IF(F548="CARTON",_xlfn.XLOOKUP(D548,'ITEM MASTER'!$A:$A,'ITEM MASTER'!$H:$H,1),1),"")</f>
        <v>0</v>
      </c>
      <c r="I548">
        <f>IF(OR(C548="PURCHASE",C548="OPENING"),G548*IF(F548="CARTON",_xlfn.XLOOKUP(D548,'ITEM MASTER'!$A:$A,'ITEM MASTER'!$H:$H,1),1),0)</f>
        <v>0</v>
      </c>
      <c r="J548">
        <f>IF(C548="SALE",G548*IF(F548="CARTON",_xlfn.XLOOKUP(D548,'ITEM MASTER'!$A:$A,'ITEM MASTER'!$H:$H,1),1),0)</f>
        <v>0</v>
      </c>
      <c r="K548">
        <f>SUMIFS($I$2:I548,$D$2:D548,D548)-SUMIFS($J$2:J548,$D$2:D548,D548)</f>
        <v>0</v>
      </c>
    </row>
    <row r="549" spans="5:11" x14ac:dyDescent="0.3">
      <c r="E549">
        <f>IFERROR(_xlfn.XLOOKUP(D549,'ITEM MASTER'!$A:$A,'ITEM MASTER'!$B:$B,""),"")</f>
        <v>0</v>
      </c>
      <c r="F549" t="s">
        <v>44</v>
      </c>
      <c r="H549">
        <f>IFERROR(_xlfn.XLOOKUP(D549,'ITEM MASTER'!$A:$A,'ITEM MASTER'!$I:$I,"")*IF(F549="CARTON",_xlfn.XLOOKUP(D549,'ITEM MASTER'!$A:$A,'ITEM MASTER'!$H:$H,1),1),"")</f>
        <v>0</v>
      </c>
      <c r="I549">
        <f>IF(OR(C549="PURCHASE",C549="OPENING"),G549*IF(F549="CARTON",_xlfn.XLOOKUP(D549,'ITEM MASTER'!$A:$A,'ITEM MASTER'!$H:$H,1),1),0)</f>
        <v>0</v>
      </c>
      <c r="J549">
        <f>IF(C549="SALE",G549*IF(F549="CARTON",_xlfn.XLOOKUP(D549,'ITEM MASTER'!$A:$A,'ITEM MASTER'!$H:$H,1),1),0)</f>
        <v>0</v>
      </c>
      <c r="K549">
        <f>SUMIFS($I$2:I549,$D$2:D549,D549)-SUMIFS($J$2:J549,$D$2:D549,D549)</f>
        <v>0</v>
      </c>
    </row>
    <row r="550" spans="5:11" x14ac:dyDescent="0.3">
      <c r="E550">
        <f>IFERROR(_xlfn.XLOOKUP(D550,'ITEM MASTER'!$A:$A,'ITEM MASTER'!$B:$B,""),"")</f>
        <v>0</v>
      </c>
      <c r="F550" t="s">
        <v>44</v>
      </c>
      <c r="H550">
        <f>IFERROR(_xlfn.XLOOKUP(D550,'ITEM MASTER'!$A:$A,'ITEM MASTER'!$I:$I,"")*IF(F550="CARTON",_xlfn.XLOOKUP(D550,'ITEM MASTER'!$A:$A,'ITEM MASTER'!$H:$H,1),1),"")</f>
        <v>0</v>
      </c>
      <c r="I550">
        <f>IF(OR(C550="PURCHASE",C550="OPENING"),G550*IF(F550="CARTON",_xlfn.XLOOKUP(D550,'ITEM MASTER'!$A:$A,'ITEM MASTER'!$H:$H,1),1),0)</f>
        <v>0</v>
      </c>
      <c r="J550">
        <f>IF(C550="SALE",G550*IF(F550="CARTON",_xlfn.XLOOKUP(D550,'ITEM MASTER'!$A:$A,'ITEM MASTER'!$H:$H,1),1),0)</f>
        <v>0</v>
      </c>
      <c r="K550">
        <f>SUMIFS($I$2:I550,$D$2:D550,D550)-SUMIFS($J$2:J550,$D$2:D550,D550)</f>
        <v>0</v>
      </c>
    </row>
    <row r="551" spans="5:11" x14ac:dyDescent="0.3">
      <c r="E551">
        <f>IFERROR(_xlfn.XLOOKUP(D551,'ITEM MASTER'!$A:$A,'ITEM MASTER'!$B:$B,""),"")</f>
        <v>0</v>
      </c>
      <c r="F551" t="s">
        <v>44</v>
      </c>
      <c r="H551">
        <f>IFERROR(_xlfn.XLOOKUP(D551,'ITEM MASTER'!$A:$A,'ITEM MASTER'!$I:$I,"")*IF(F551="CARTON",_xlfn.XLOOKUP(D551,'ITEM MASTER'!$A:$A,'ITEM MASTER'!$H:$H,1),1),"")</f>
        <v>0</v>
      </c>
      <c r="I551">
        <f>IF(OR(C551="PURCHASE",C551="OPENING"),G551*IF(F551="CARTON",_xlfn.XLOOKUP(D551,'ITEM MASTER'!$A:$A,'ITEM MASTER'!$H:$H,1),1),0)</f>
        <v>0</v>
      </c>
      <c r="J551">
        <f>IF(C551="SALE",G551*IF(F551="CARTON",_xlfn.XLOOKUP(D551,'ITEM MASTER'!$A:$A,'ITEM MASTER'!$H:$H,1),1),0)</f>
        <v>0</v>
      </c>
      <c r="K551">
        <f>SUMIFS($I$2:I551,$D$2:D551,D551)-SUMIFS($J$2:J551,$D$2:D551,D551)</f>
        <v>0</v>
      </c>
    </row>
    <row r="552" spans="5:11" x14ac:dyDescent="0.3">
      <c r="E552">
        <f>IFERROR(_xlfn.XLOOKUP(D552,'ITEM MASTER'!$A:$A,'ITEM MASTER'!$B:$B,""),"")</f>
        <v>0</v>
      </c>
      <c r="F552" t="s">
        <v>44</v>
      </c>
      <c r="H552">
        <f>IFERROR(_xlfn.XLOOKUP(D552,'ITEM MASTER'!$A:$A,'ITEM MASTER'!$I:$I,"")*IF(F552="CARTON",_xlfn.XLOOKUP(D552,'ITEM MASTER'!$A:$A,'ITEM MASTER'!$H:$H,1),1),"")</f>
        <v>0</v>
      </c>
      <c r="I552">
        <f>IF(OR(C552="PURCHASE",C552="OPENING"),G552*IF(F552="CARTON",_xlfn.XLOOKUP(D552,'ITEM MASTER'!$A:$A,'ITEM MASTER'!$H:$H,1),1),0)</f>
        <v>0</v>
      </c>
      <c r="J552">
        <f>IF(C552="SALE",G552*IF(F552="CARTON",_xlfn.XLOOKUP(D552,'ITEM MASTER'!$A:$A,'ITEM MASTER'!$H:$H,1),1),0)</f>
        <v>0</v>
      </c>
      <c r="K552">
        <f>SUMIFS($I$2:I552,$D$2:D552,D552)-SUMIFS($J$2:J552,$D$2:D552,D552)</f>
        <v>0</v>
      </c>
    </row>
    <row r="553" spans="5:11" x14ac:dyDescent="0.3">
      <c r="E553">
        <f>IFERROR(_xlfn.XLOOKUP(D553,'ITEM MASTER'!$A:$A,'ITEM MASTER'!$B:$B,""),"")</f>
        <v>0</v>
      </c>
      <c r="F553" t="s">
        <v>44</v>
      </c>
      <c r="H553">
        <f>IFERROR(_xlfn.XLOOKUP(D553,'ITEM MASTER'!$A:$A,'ITEM MASTER'!$I:$I,"")*IF(F553="CARTON",_xlfn.XLOOKUP(D553,'ITEM MASTER'!$A:$A,'ITEM MASTER'!$H:$H,1),1),"")</f>
        <v>0</v>
      </c>
      <c r="I553">
        <f>IF(OR(C553="PURCHASE",C553="OPENING"),G553*IF(F553="CARTON",_xlfn.XLOOKUP(D553,'ITEM MASTER'!$A:$A,'ITEM MASTER'!$H:$H,1),1),0)</f>
        <v>0</v>
      </c>
      <c r="J553">
        <f>IF(C553="SALE",G553*IF(F553="CARTON",_xlfn.XLOOKUP(D553,'ITEM MASTER'!$A:$A,'ITEM MASTER'!$H:$H,1),1),0)</f>
        <v>0</v>
      </c>
      <c r="K553">
        <f>SUMIFS($I$2:I553,$D$2:D553,D553)-SUMIFS($J$2:J553,$D$2:D553,D553)</f>
        <v>0</v>
      </c>
    </row>
    <row r="554" spans="5:11" x14ac:dyDescent="0.3">
      <c r="E554">
        <f>IFERROR(_xlfn.XLOOKUP(D554,'ITEM MASTER'!$A:$A,'ITEM MASTER'!$B:$B,""),"")</f>
        <v>0</v>
      </c>
      <c r="F554" t="s">
        <v>44</v>
      </c>
      <c r="H554">
        <f>IFERROR(_xlfn.XLOOKUP(D554,'ITEM MASTER'!$A:$A,'ITEM MASTER'!$I:$I,"")*IF(F554="CARTON",_xlfn.XLOOKUP(D554,'ITEM MASTER'!$A:$A,'ITEM MASTER'!$H:$H,1),1),"")</f>
        <v>0</v>
      </c>
      <c r="I554">
        <f>IF(OR(C554="PURCHASE",C554="OPENING"),G554*IF(F554="CARTON",_xlfn.XLOOKUP(D554,'ITEM MASTER'!$A:$A,'ITEM MASTER'!$H:$H,1),1),0)</f>
        <v>0</v>
      </c>
      <c r="J554">
        <f>IF(C554="SALE",G554*IF(F554="CARTON",_xlfn.XLOOKUP(D554,'ITEM MASTER'!$A:$A,'ITEM MASTER'!$H:$H,1),1),0)</f>
        <v>0</v>
      </c>
      <c r="K554">
        <f>SUMIFS($I$2:I554,$D$2:D554,D554)-SUMIFS($J$2:J554,$D$2:D554,D554)</f>
        <v>0</v>
      </c>
    </row>
    <row r="555" spans="5:11" x14ac:dyDescent="0.3">
      <c r="E555">
        <f>IFERROR(_xlfn.XLOOKUP(D555,'ITEM MASTER'!$A:$A,'ITEM MASTER'!$B:$B,""),"")</f>
        <v>0</v>
      </c>
      <c r="F555" t="s">
        <v>44</v>
      </c>
      <c r="H555">
        <f>IFERROR(_xlfn.XLOOKUP(D555,'ITEM MASTER'!$A:$A,'ITEM MASTER'!$I:$I,"")*IF(F555="CARTON",_xlfn.XLOOKUP(D555,'ITEM MASTER'!$A:$A,'ITEM MASTER'!$H:$H,1),1),"")</f>
        <v>0</v>
      </c>
      <c r="I555">
        <f>IF(OR(C555="PURCHASE",C555="OPENING"),G555*IF(F555="CARTON",_xlfn.XLOOKUP(D555,'ITEM MASTER'!$A:$A,'ITEM MASTER'!$H:$H,1),1),0)</f>
        <v>0</v>
      </c>
      <c r="J555">
        <f>IF(C555="SALE",G555*IF(F555="CARTON",_xlfn.XLOOKUP(D555,'ITEM MASTER'!$A:$A,'ITEM MASTER'!$H:$H,1),1),0)</f>
        <v>0</v>
      </c>
      <c r="K555">
        <f>SUMIFS($I$2:I555,$D$2:D555,D555)-SUMIFS($J$2:J555,$D$2:D555,D555)</f>
        <v>0</v>
      </c>
    </row>
    <row r="556" spans="5:11" x14ac:dyDescent="0.3">
      <c r="E556">
        <f>IFERROR(_xlfn.XLOOKUP(D556,'ITEM MASTER'!$A:$A,'ITEM MASTER'!$B:$B,""),"")</f>
        <v>0</v>
      </c>
      <c r="F556" t="s">
        <v>44</v>
      </c>
      <c r="H556">
        <f>IFERROR(_xlfn.XLOOKUP(D556,'ITEM MASTER'!$A:$A,'ITEM MASTER'!$I:$I,"")*IF(F556="CARTON",_xlfn.XLOOKUP(D556,'ITEM MASTER'!$A:$A,'ITEM MASTER'!$H:$H,1),1),"")</f>
        <v>0</v>
      </c>
      <c r="I556">
        <f>IF(OR(C556="PURCHASE",C556="OPENING"),G556*IF(F556="CARTON",_xlfn.XLOOKUP(D556,'ITEM MASTER'!$A:$A,'ITEM MASTER'!$H:$H,1),1),0)</f>
        <v>0</v>
      </c>
      <c r="J556">
        <f>IF(C556="SALE",G556*IF(F556="CARTON",_xlfn.XLOOKUP(D556,'ITEM MASTER'!$A:$A,'ITEM MASTER'!$H:$H,1),1),0)</f>
        <v>0</v>
      </c>
      <c r="K556">
        <f>SUMIFS($I$2:I556,$D$2:D556,D556)-SUMIFS($J$2:J556,$D$2:D556,D556)</f>
        <v>0</v>
      </c>
    </row>
    <row r="557" spans="5:11" x14ac:dyDescent="0.3">
      <c r="E557">
        <f>IFERROR(_xlfn.XLOOKUP(D557,'ITEM MASTER'!$A:$A,'ITEM MASTER'!$B:$B,""),"")</f>
        <v>0</v>
      </c>
      <c r="F557" t="s">
        <v>44</v>
      </c>
      <c r="H557">
        <f>IFERROR(_xlfn.XLOOKUP(D557,'ITEM MASTER'!$A:$A,'ITEM MASTER'!$I:$I,"")*IF(F557="CARTON",_xlfn.XLOOKUP(D557,'ITEM MASTER'!$A:$A,'ITEM MASTER'!$H:$H,1),1),"")</f>
        <v>0</v>
      </c>
      <c r="I557">
        <f>IF(OR(C557="PURCHASE",C557="OPENING"),G557*IF(F557="CARTON",_xlfn.XLOOKUP(D557,'ITEM MASTER'!$A:$A,'ITEM MASTER'!$H:$H,1),1),0)</f>
        <v>0</v>
      </c>
      <c r="J557">
        <f>IF(C557="SALE",G557*IF(F557="CARTON",_xlfn.XLOOKUP(D557,'ITEM MASTER'!$A:$A,'ITEM MASTER'!$H:$H,1),1),0)</f>
        <v>0</v>
      </c>
      <c r="K557">
        <f>SUMIFS($I$2:I557,$D$2:D557,D557)-SUMIFS($J$2:J557,$D$2:D557,D557)</f>
        <v>0</v>
      </c>
    </row>
    <row r="558" spans="5:11" x14ac:dyDescent="0.3">
      <c r="E558">
        <f>IFERROR(_xlfn.XLOOKUP(D558,'ITEM MASTER'!$A:$A,'ITEM MASTER'!$B:$B,""),"")</f>
        <v>0</v>
      </c>
      <c r="F558" t="s">
        <v>44</v>
      </c>
      <c r="H558">
        <f>IFERROR(_xlfn.XLOOKUP(D558,'ITEM MASTER'!$A:$A,'ITEM MASTER'!$I:$I,"")*IF(F558="CARTON",_xlfn.XLOOKUP(D558,'ITEM MASTER'!$A:$A,'ITEM MASTER'!$H:$H,1),1),"")</f>
        <v>0</v>
      </c>
      <c r="I558">
        <f>IF(OR(C558="PURCHASE",C558="OPENING"),G558*IF(F558="CARTON",_xlfn.XLOOKUP(D558,'ITEM MASTER'!$A:$A,'ITEM MASTER'!$H:$H,1),1),0)</f>
        <v>0</v>
      </c>
      <c r="J558">
        <f>IF(C558="SALE",G558*IF(F558="CARTON",_xlfn.XLOOKUP(D558,'ITEM MASTER'!$A:$A,'ITEM MASTER'!$H:$H,1),1),0)</f>
        <v>0</v>
      </c>
      <c r="K558">
        <f>SUMIFS($I$2:I558,$D$2:D558,D558)-SUMIFS($J$2:J558,$D$2:D558,D558)</f>
        <v>0</v>
      </c>
    </row>
    <row r="559" spans="5:11" x14ac:dyDescent="0.3">
      <c r="E559">
        <f>IFERROR(_xlfn.XLOOKUP(D559,'ITEM MASTER'!$A:$A,'ITEM MASTER'!$B:$B,""),"")</f>
        <v>0</v>
      </c>
      <c r="F559" t="s">
        <v>44</v>
      </c>
      <c r="H559">
        <f>IFERROR(_xlfn.XLOOKUP(D559,'ITEM MASTER'!$A:$A,'ITEM MASTER'!$I:$I,"")*IF(F559="CARTON",_xlfn.XLOOKUP(D559,'ITEM MASTER'!$A:$A,'ITEM MASTER'!$H:$H,1),1),"")</f>
        <v>0</v>
      </c>
      <c r="I559">
        <f>IF(OR(C559="PURCHASE",C559="OPENING"),G559*IF(F559="CARTON",_xlfn.XLOOKUP(D559,'ITEM MASTER'!$A:$A,'ITEM MASTER'!$H:$H,1),1),0)</f>
        <v>0</v>
      </c>
      <c r="J559">
        <f>IF(C559="SALE",G559*IF(F559="CARTON",_xlfn.XLOOKUP(D559,'ITEM MASTER'!$A:$A,'ITEM MASTER'!$H:$H,1),1),0)</f>
        <v>0</v>
      </c>
      <c r="K559">
        <f>SUMIFS($I$2:I559,$D$2:D559,D559)-SUMIFS($J$2:J559,$D$2:D559,D559)</f>
        <v>0</v>
      </c>
    </row>
    <row r="560" spans="5:11" x14ac:dyDescent="0.3">
      <c r="E560">
        <f>IFERROR(_xlfn.XLOOKUP(D560,'ITEM MASTER'!$A:$A,'ITEM MASTER'!$B:$B,""),"")</f>
        <v>0</v>
      </c>
      <c r="F560" t="s">
        <v>44</v>
      </c>
      <c r="H560">
        <f>IFERROR(_xlfn.XLOOKUP(D560,'ITEM MASTER'!$A:$A,'ITEM MASTER'!$I:$I,"")*IF(F560="CARTON",_xlfn.XLOOKUP(D560,'ITEM MASTER'!$A:$A,'ITEM MASTER'!$H:$H,1),1),"")</f>
        <v>0</v>
      </c>
      <c r="I560">
        <f>IF(OR(C560="PURCHASE",C560="OPENING"),G560*IF(F560="CARTON",_xlfn.XLOOKUP(D560,'ITEM MASTER'!$A:$A,'ITEM MASTER'!$H:$H,1),1),0)</f>
        <v>0</v>
      </c>
      <c r="J560">
        <f>IF(C560="SALE",G560*IF(F560="CARTON",_xlfn.XLOOKUP(D560,'ITEM MASTER'!$A:$A,'ITEM MASTER'!$H:$H,1),1),0)</f>
        <v>0</v>
      </c>
      <c r="K560">
        <f>SUMIFS($I$2:I560,$D$2:D560,D560)-SUMIFS($J$2:J560,$D$2:D560,D560)</f>
        <v>0</v>
      </c>
    </row>
    <row r="561" spans="5:11" x14ac:dyDescent="0.3">
      <c r="E561">
        <f>IFERROR(_xlfn.XLOOKUP(D561,'ITEM MASTER'!$A:$A,'ITEM MASTER'!$B:$B,""),"")</f>
        <v>0</v>
      </c>
      <c r="F561" t="s">
        <v>44</v>
      </c>
      <c r="H561">
        <f>IFERROR(_xlfn.XLOOKUP(D561,'ITEM MASTER'!$A:$A,'ITEM MASTER'!$I:$I,"")*IF(F561="CARTON",_xlfn.XLOOKUP(D561,'ITEM MASTER'!$A:$A,'ITEM MASTER'!$H:$H,1),1),"")</f>
        <v>0</v>
      </c>
      <c r="I561">
        <f>IF(OR(C561="PURCHASE",C561="OPENING"),G561*IF(F561="CARTON",_xlfn.XLOOKUP(D561,'ITEM MASTER'!$A:$A,'ITEM MASTER'!$H:$H,1),1),0)</f>
        <v>0</v>
      </c>
      <c r="J561">
        <f>IF(C561="SALE",G561*IF(F561="CARTON",_xlfn.XLOOKUP(D561,'ITEM MASTER'!$A:$A,'ITEM MASTER'!$H:$H,1),1),0)</f>
        <v>0</v>
      </c>
      <c r="K561">
        <f>SUMIFS($I$2:I561,$D$2:D561,D561)-SUMIFS($J$2:J561,$D$2:D561,D561)</f>
        <v>0</v>
      </c>
    </row>
    <row r="562" spans="5:11" x14ac:dyDescent="0.3">
      <c r="E562">
        <f>IFERROR(_xlfn.XLOOKUP(D562,'ITEM MASTER'!$A:$A,'ITEM MASTER'!$B:$B,""),"")</f>
        <v>0</v>
      </c>
      <c r="F562" t="s">
        <v>44</v>
      </c>
      <c r="H562">
        <f>IFERROR(_xlfn.XLOOKUP(D562,'ITEM MASTER'!$A:$A,'ITEM MASTER'!$I:$I,"")*IF(F562="CARTON",_xlfn.XLOOKUP(D562,'ITEM MASTER'!$A:$A,'ITEM MASTER'!$H:$H,1),1),"")</f>
        <v>0</v>
      </c>
      <c r="I562">
        <f>IF(OR(C562="PURCHASE",C562="OPENING"),G562*IF(F562="CARTON",_xlfn.XLOOKUP(D562,'ITEM MASTER'!$A:$A,'ITEM MASTER'!$H:$H,1),1),0)</f>
        <v>0</v>
      </c>
      <c r="J562">
        <f>IF(C562="SALE",G562*IF(F562="CARTON",_xlfn.XLOOKUP(D562,'ITEM MASTER'!$A:$A,'ITEM MASTER'!$H:$H,1),1),0)</f>
        <v>0</v>
      </c>
      <c r="K562">
        <f>SUMIFS($I$2:I562,$D$2:D562,D562)-SUMIFS($J$2:J562,$D$2:D562,D562)</f>
        <v>0</v>
      </c>
    </row>
    <row r="563" spans="5:11" x14ac:dyDescent="0.3">
      <c r="E563">
        <f>IFERROR(_xlfn.XLOOKUP(D563,'ITEM MASTER'!$A:$A,'ITEM MASTER'!$B:$B,""),"")</f>
        <v>0</v>
      </c>
      <c r="F563" t="s">
        <v>44</v>
      </c>
      <c r="H563">
        <f>IFERROR(_xlfn.XLOOKUP(D563,'ITEM MASTER'!$A:$A,'ITEM MASTER'!$I:$I,"")*IF(F563="CARTON",_xlfn.XLOOKUP(D563,'ITEM MASTER'!$A:$A,'ITEM MASTER'!$H:$H,1),1),"")</f>
        <v>0</v>
      </c>
      <c r="I563">
        <f>IF(OR(C563="PURCHASE",C563="OPENING"),G563*IF(F563="CARTON",_xlfn.XLOOKUP(D563,'ITEM MASTER'!$A:$A,'ITEM MASTER'!$H:$H,1),1),0)</f>
        <v>0</v>
      </c>
      <c r="J563">
        <f>IF(C563="SALE",G563*IF(F563="CARTON",_xlfn.XLOOKUP(D563,'ITEM MASTER'!$A:$A,'ITEM MASTER'!$H:$H,1),1),0)</f>
        <v>0</v>
      </c>
      <c r="K563">
        <f>SUMIFS($I$2:I563,$D$2:D563,D563)-SUMIFS($J$2:J563,$D$2:D563,D563)</f>
        <v>0</v>
      </c>
    </row>
    <row r="564" spans="5:11" x14ac:dyDescent="0.3">
      <c r="E564">
        <f>IFERROR(_xlfn.XLOOKUP(D564,'ITEM MASTER'!$A:$A,'ITEM MASTER'!$B:$B,""),"")</f>
        <v>0</v>
      </c>
      <c r="F564" t="s">
        <v>44</v>
      </c>
      <c r="H564">
        <f>IFERROR(_xlfn.XLOOKUP(D564,'ITEM MASTER'!$A:$A,'ITEM MASTER'!$I:$I,"")*IF(F564="CARTON",_xlfn.XLOOKUP(D564,'ITEM MASTER'!$A:$A,'ITEM MASTER'!$H:$H,1),1),"")</f>
        <v>0</v>
      </c>
      <c r="I564">
        <f>IF(OR(C564="PURCHASE",C564="OPENING"),G564*IF(F564="CARTON",_xlfn.XLOOKUP(D564,'ITEM MASTER'!$A:$A,'ITEM MASTER'!$H:$H,1),1),0)</f>
        <v>0</v>
      </c>
      <c r="J564">
        <f>IF(C564="SALE",G564*IF(F564="CARTON",_xlfn.XLOOKUP(D564,'ITEM MASTER'!$A:$A,'ITEM MASTER'!$H:$H,1),1),0)</f>
        <v>0</v>
      </c>
      <c r="K564">
        <f>SUMIFS($I$2:I564,$D$2:D564,D564)-SUMIFS($J$2:J564,$D$2:D564,D564)</f>
        <v>0</v>
      </c>
    </row>
    <row r="565" spans="5:11" x14ac:dyDescent="0.3">
      <c r="E565">
        <f>IFERROR(_xlfn.XLOOKUP(D565,'ITEM MASTER'!$A:$A,'ITEM MASTER'!$B:$B,""),"")</f>
        <v>0</v>
      </c>
      <c r="F565" t="s">
        <v>44</v>
      </c>
      <c r="H565">
        <f>IFERROR(_xlfn.XLOOKUP(D565,'ITEM MASTER'!$A:$A,'ITEM MASTER'!$I:$I,"")*IF(F565="CARTON",_xlfn.XLOOKUP(D565,'ITEM MASTER'!$A:$A,'ITEM MASTER'!$H:$H,1),1),"")</f>
        <v>0</v>
      </c>
      <c r="I565">
        <f>IF(OR(C565="PURCHASE",C565="OPENING"),G565*IF(F565="CARTON",_xlfn.XLOOKUP(D565,'ITEM MASTER'!$A:$A,'ITEM MASTER'!$H:$H,1),1),0)</f>
        <v>0</v>
      </c>
      <c r="J565">
        <f>IF(C565="SALE",G565*IF(F565="CARTON",_xlfn.XLOOKUP(D565,'ITEM MASTER'!$A:$A,'ITEM MASTER'!$H:$H,1),1),0)</f>
        <v>0</v>
      </c>
      <c r="K565">
        <f>SUMIFS($I$2:I565,$D$2:D565,D565)-SUMIFS($J$2:J565,$D$2:D565,D565)</f>
        <v>0</v>
      </c>
    </row>
    <row r="566" spans="5:11" x14ac:dyDescent="0.3">
      <c r="E566">
        <f>IFERROR(_xlfn.XLOOKUP(D566,'ITEM MASTER'!$A:$A,'ITEM MASTER'!$B:$B,""),"")</f>
        <v>0</v>
      </c>
      <c r="F566" t="s">
        <v>44</v>
      </c>
      <c r="H566">
        <f>IFERROR(_xlfn.XLOOKUP(D566,'ITEM MASTER'!$A:$A,'ITEM MASTER'!$I:$I,"")*IF(F566="CARTON",_xlfn.XLOOKUP(D566,'ITEM MASTER'!$A:$A,'ITEM MASTER'!$H:$H,1),1),"")</f>
        <v>0</v>
      </c>
      <c r="I566">
        <f>IF(OR(C566="PURCHASE",C566="OPENING"),G566*IF(F566="CARTON",_xlfn.XLOOKUP(D566,'ITEM MASTER'!$A:$A,'ITEM MASTER'!$H:$H,1),1),0)</f>
        <v>0</v>
      </c>
      <c r="J566">
        <f>IF(C566="SALE",G566*IF(F566="CARTON",_xlfn.XLOOKUP(D566,'ITEM MASTER'!$A:$A,'ITEM MASTER'!$H:$H,1),1),0)</f>
        <v>0</v>
      </c>
      <c r="K566">
        <f>SUMIFS($I$2:I566,$D$2:D566,D566)-SUMIFS($J$2:J566,$D$2:D566,D566)</f>
        <v>0</v>
      </c>
    </row>
    <row r="567" spans="5:11" x14ac:dyDescent="0.3">
      <c r="E567">
        <f>IFERROR(_xlfn.XLOOKUP(D567,'ITEM MASTER'!$A:$A,'ITEM MASTER'!$B:$B,""),"")</f>
        <v>0</v>
      </c>
      <c r="F567" t="s">
        <v>44</v>
      </c>
      <c r="H567">
        <f>IFERROR(_xlfn.XLOOKUP(D567,'ITEM MASTER'!$A:$A,'ITEM MASTER'!$I:$I,"")*IF(F567="CARTON",_xlfn.XLOOKUP(D567,'ITEM MASTER'!$A:$A,'ITEM MASTER'!$H:$H,1),1),"")</f>
        <v>0</v>
      </c>
      <c r="I567">
        <f>IF(OR(C567="PURCHASE",C567="OPENING"),G567*IF(F567="CARTON",_xlfn.XLOOKUP(D567,'ITEM MASTER'!$A:$A,'ITEM MASTER'!$H:$H,1),1),0)</f>
        <v>0</v>
      </c>
      <c r="J567">
        <f>IF(C567="SALE",G567*IF(F567="CARTON",_xlfn.XLOOKUP(D567,'ITEM MASTER'!$A:$A,'ITEM MASTER'!$H:$H,1),1),0)</f>
        <v>0</v>
      </c>
      <c r="K567">
        <f>SUMIFS($I$2:I567,$D$2:D567,D567)-SUMIFS($J$2:J567,$D$2:D567,D567)</f>
        <v>0</v>
      </c>
    </row>
    <row r="568" spans="5:11" x14ac:dyDescent="0.3">
      <c r="E568">
        <f>IFERROR(_xlfn.XLOOKUP(D568,'ITEM MASTER'!$A:$A,'ITEM MASTER'!$B:$B,""),"")</f>
        <v>0</v>
      </c>
      <c r="F568" t="s">
        <v>44</v>
      </c>
      <c r="H568">
        <f>IFERROR(_xlfn.XLOOKUP(D568,'ITEM MASTER'!$A:$A,'ITEM MASTER'!$I:$I,"")*IF(F568="CARTON",_xlfn.XLOOKUP(D568,'ITEM MASTER'!$A:$A,'ITEM MASTER'!$H:$H,1),1),"")</f>
        <v>0</v>
      </c>
      <c r="I568">
        <f>IF(OR(C568="PURCHASE",C568="OPENING"),G568*IF(F568="CARTON",_xlfn.XLOOKUP(D568,'ITEM MASTER'!$A:$A,'ITEM MASTER'!$H:$H,1),1),0)</f>
        <v>0</v>
      </c>
      <c r="J568">
        <f>IF(C568="SALE",G568*IF(F568="CARTON",_xlfn.XLOOKUP(D568,'ITEM MASTER'!$A:$A,'ITEM MASTER'!$H:$H,1),1),0)</f>
        <v>0</v>
      </c>
      <c r="K568">
        <f>SUMIFS($I$2:I568,$D$2:D568,D568)-SUMIFS($J$2:J568,$D$2:D568,D568)</f>
        <v>0</v>
      </c>
    </row>
    <row r="569" spans="5:11" x14ac:dyDescent="0.3">
      <c r="E569">
        <f>IFERROR(_xlfn.XLOOKUP(D569,'ITEM MASTER'!$A:$A,'ITEM MASTER'!$B:$B,""),"")</f>
        <v>0</v>
      </c>
      <c r="F569" t="s">
        <v>44</v>
      </c>
      <c r="H569">
        <f>IFERROR(_xlfn.XLOOKUP(D569,'ITEM MASTER'!$A:$A,'ITEM MASTER'!$I:$I,"")*IF(F569="CARTON",_xlfn.XLOOKUP(D569,'ITEM MASTER'!$A:$A,'ITEM MASTER'!$H:$H,1),1),"")</f>
        <v>0</v>
      </c>
      <c r="I569">
        <f>IF(OR(C569="PURCHASE",C569="OPENING"),G569*IF(F569="CARTON",_xlfn.XLOOKUP(D569,'ITEM MASTER'!$A:$A,'ITEM MASTER'!$H:$H,1),1),0)</f>
        <v>0</v>
      </c>
      <c r="J569">
        <f>IF(C569="SALE",G569*IF(F569="CARTON",_xlfn.XLOOKUP(D569,'ITEM MASTER'!$A:$A,'ITEM MASTER'!$H:$H,1),1),0)</f>
        <v>0</v>
      </c>
      <c r="K569">
        <f>SUMIFS($I$2:I569,$D$2:D569,D569)-SUMIFS($J$2:J569,$D$2:D569,D569)</f>
        <v>0</v>
      </c>
    </row>
    <row r="570" spans="5:11" x14ac:dyDescent="0.3">
      <c r="E570">
        <f>IFERROR(_xlfn.XLOOKUP(D570,'ITEM MASTER'!$A:$A,'ITEM MASTER'!$B:$B,""),"")</f>
        <v>0</v>
      </c>
      <c r="F570" t="s">
        <v>44</v>
      </c>
      <c r="H570">
        <f>IFERROR(_xlfn.XLOOKUP(D570,'ITEM MASTER'!$A:$A,'ITEM MASTER'!$I:$I,"")*IF(F570="CARTON",_xlfn.XLOOKUP(D570,'ITEM MASTER'!$A:$A,'ITEM MASTER'!$H:$H,1),1),"")</f>
        <v>0</v>
      </c>
      <c r="I570">
        <f>IF(OR(C570="PURCHASE",C570="OPENING"),G570*IF(F570="CARTON",_xlfn.XLOOKUP(D570,'ITEM MASTER'!$A:$A,'ITEM MASTER'!$H:$H,1),1),0)</f>
        <v>0</v>
      </c>
      <c r="J570">
        <f>IF(C570="SALE",G570*IF(F570="CARTON",_xlfn.XLOOKUP(D570,'ITEM MASTER'!$A:$A,'ITEM MASTER'!$H:$H,1),1),0)</f>
        <v>0</v>
      </c>
      <c r="K570">
        <f>SUMIFS($I$2:I570,$D$2:D570,D570)-SUMIFS($J$2:J570,$D$2:D570,D570)</f>
        <v>0</v>
      </c>
    </row>
    <row r="571" spans="5:11" x14ac:dyDescent="0.3">
      <c r="E571">
        <f>IFERROR(_xlfn.XLOOKUP(D571,'ITEM MASTER'!$A:$A,'ITEM MASTER'!$B:$B,""),"")</f>
        <v>0</v>
      </c>
      <c r="F571" t="s">
        <v>44</v>
      </c>
      <c r="H571">
        <f>IFERROR(_xlfn.XLOOKUP(D571,'ITEM MASTER'!$A:$A,'ITEM MASTER'!$I:$I,"")*IF(F571="CARTON",_xlfn.XLOOKUP(D571,'ITEM MASTER'!$A:$A,'ITEM MASTER'!$H:$H,1),1),"")</f>
        <v>0</v>
      </c>
      <c r="I571">
        <f>IF(OR(C571="PURCHASE",C571="OPENING"),G571*IF(F571="CARTON",_xlfn.XLOOKUP(D571,'ITEM MASTER'!$A:$A,'ITEM MASTER'!$H:$H,1),1),0)</f>
        <v>0</v>
      </c>
      <c r="J571">
        <f>IF(C571="SALE",G571*IF(F571="CARTON",_xlfn.XLOOKUP(D571,'ITEM MASTER'!$A:$A,'ITEM MASTER'!$H:$H,1),1),0)</f>
        <v>0</v>
      </c>
      <c r="K571">
        <f>SUMIFS($I$2:I571,$D$2:D571,D571)-SUMIFS($J$2:J571,$D$2:D571,D571)</f>
        <v>0</v>
      </c>
    </row>
    <row r="572" spans="5:11" x14ac:dyDescent="0.3">
      <c r="E572">
        <f>IFERROR(_xlfn.XLOOKUP(D572,'ITEM MASTER'!$A:$A,'ITEM MASTER'!$B:$B,""),"")</f>
        <v>0</v>
      </c>
      <c r="F572" t="s">
        <v>44</v>
      </c>
      <c r="H572">
        <f>IFERROR(_xlfn.XLOOKUP(D572,'ITEM MASTER'!$A:$A,'ITEM MASTER'!$I:$I,"")*IF(F572="CARTON",_xlfn.XLOOKUP(D572,'ITEM MASTER'!$A:$A,'ITEM MASTER'!$H:$H,1),1),"")</f>
        <v>0</v>
      </c>
      <c r="I572">
        <f>IF(OR(C572="PURCHASE",C572="OPENING"),G572*IF(F572="CARTON",_xlfn.XLOOKUP(D572,'ITEM MASTER'!$A:$A,'ITEM MASTER'!$H:$H,1),1),0)</f>
        <v>0</v>
      </c>
      <c r="J572">
        <f>IF(C572="SALE",G572*IF(F572="CARTON",_xlfn.XLOOKUP(D572,'ITEM MASTER'!$A:$A,'ITEM MASTER'!$H:$H,1),1),0)</f>
        <v>0</v>
      </c>
      <c r="K572">
        <f>SUMIFS($I$2:I572,$D$2:D572,D572)-SUMIFS($J$2:J572,$D$2:D572,D572)</f>
        <v>0</v>
      </c>
    </row>
    <row r="573" spans="5:11" x14ac:dyDescent="0.3">
      <c r="E573">
        <f>IFERROR(_xlfn.XLOOKUP(D573,'ITEM MASTER'!$A:$A,'ITEM MASTER'!$B:$B,""),"")</f>
        <v>0</v>
      </c>
      <c r="F573" t="s">
        <v>44</v>
      </c>
      <c r="H573">
        <f>IFERROR(_xlfn.XLOOKUP(D573,'ITEM MASTER'!$A:$A,'ITEM MASTER'!$I:$I,"")*IF(F573="CARTON",_xlfn.XLOOKUP(D573,'ITEM MASTER'!$A:$A,'ITEM MASTER'!$H:$H,1),1),"")</f>
        <v>0</v>
      </c>
      <c r="I573">
        <f>IF(OR(C573="PURCHASE",C573="OPENING"),G573*IF(F573="CARTON",_xlfn.XLOOKUP(D573,'ITEM MASTER'!$A:$A,'ITEM MASTER'!$H:$H,1),1),0)</f>
        <v>0</v>
      </c>
      <c r="J573">
        <f>IF(C573="SALE",G573*IF(F573="CARTON",_xlfn.XLOOKUP(D573,'ITEM MASTER'!$A:$A,'ITEM MASTER'!$H:$H,1),1),0)</f>
        <v>0</v>
      </c>
      <c r="K573">
        <f>SUMIFS($I$2:I573,$D$2:D573,D573)-SUMIFS($J$2:J573,$D$2:D573,D573)</f>
        <v>0</v>
      </c>
    </row>
    <row r="574" spans="5:11" x14ac:dyDescent="0.3">
      <c r="E574">
        <f>IFERROR(_xlfn.XLOOKUP(D574,'ITEM MASTER'!$A:$A,'ITEM MASTER'!$B:$B,""),"")</f>
        <v>0</v>
      </c>
      <c r="F574" t="s">
        <v>44</v>
      </c>
      <c r="H574">
        <f>IFERROR(_xlfn.XLOOKUP(D574,'ITEM MASTER'!$A:$A,'ITEM MASTER'!$I:$I,"")*IF(F574="CARTON",_xlfn.XLOOKUP(D574,'ITEM MASTER'!$A:$A,'ITEM MASTER'!$H:$H,1),1),"")</f>
        <v>0</v>
      </c>
      <c r="I574">
        <f>IF(OR(C574="PURCHASE",C574="OPENING"),G574*IF(F574="CARTON",_xlfn.XLOOKUP(D574,'ITEM MASTER'!$A:$A,'ITEM MASTER'!$H:$H,1),1),0)</f>
        <v>0</v>
      </c>
      <c r="J574">
        <f>IF(C574="SALE",G574*IF(F574="CARTON",_xlfn.XLOOKUP(D574,'ITEM MASTER'!$A:$A,'ITEM MASTER'!$H:$H,1),1),0)</f>
        <v>0</v>
      </c>
      <c r="K574">
        <f>SUMIFS($I$2:I574,$D$2:D574,D574)-SUMIFS($J$2:J574,$D$2:D574,D574)</f>
        <v>0</v>
      </c>
    </row>
    <row r="575" spans="5:11" x14ac:dyDescent="0.3">
      <c r="E575">
        <f>IFERROR(_xlfn.XLOOKUP(D575,'ITEM MASTER'!$A:$A,'ITEM MASTER'!$B:$B,""),"")</f>
        <v>0</v>
      </c>
      <c r="F575" t="s">
        <v>44</v>
      </c>
      <c r="H575">
        <f>IFERROR(_xlfn.XLOOKUP(D575,'ITEM MASTER'!$A:$A,'ITEM MASTER'!$I:$I,"")*IF(F575="CARTON",_xlfn.XLOOKUP(D575,'ITEM MASTER'!$A:$A,'ITEM MASTER'!$H:$H,1),1),"")</f>
        <v>0</v>
      </c>
      <c r="I575">
        <f>IF(OR(C575="PURCHASE",C575="OPENING"),G575*IF(F575="CARTON",_xlfn.XLOOKUP(D575,'ITEM MASTER'!$A:$A,'ITEM MASTER'!$H:$H,1),1),0)</f>
        <v>0</v>
      </c>
      <c r="J575">
        <f>IF(C575="SALE",G575*IF(F575="CARTON",_xlfn.XLOOKUP(D575,'ITEM MASTER'!$A:$A,'ITEM MASTER'!$H:$H,1),1),0)</f>
        <v>0</v>
      </c>
      <c r="K575">
        <f>SUMIFS($I$2:I575,$D$2:D575,D575)-SUMIFS($J$2:J575,$D$2:D575,D575)</f>
        <v>0</v>
      </c>
    </row>
    <row r="576" spans="5:11" x14ac:dyDescent="0.3">
      <c r="E576">
        <f>IFERROR(_xlfn.XLOOKUP(D576,'ITEM MASTER'!$A:$A,'ITEM MASTER'!$B:$B,""),"")</f>
        <v>0</v>
      </c>
      <c r="F576" t="s">
        <v>44</v>
      </c>
      <c r="H576">
        <f>IFERROR(_xlfn.XLOOKUP(D576,'ITEM MASTER'!$A:$A,'ITEM MASTER'!$I:$I,"")*IF(F576="CARTON",_xlfn.XLOOKUP(D576,'ITEM MASTER'!$A:$A,'ITEM MASTER'!$H:$H,1),1),"")</f>
        <v>0</v>
      </c>
      <c r="I576">
        <f>IF(OR(C576="PURCHASE",C576="OPENING"),G576*IF(F576="CARTON",_xlfn.XLOOKUP(D576,'ITEM MASTER'!$A:$A,'ITEM MASTER'!$H:$H,1),1),0)</f>
        <v>0</v>
      </c>
      <c r="J576">
        <f>IF(C576="SALE",G576*IF(F576="CARTON",_xlfn.XLOOKUP(D576,'ITEM MASTER'!$A:$A,'ITEM MASTER'!$H:$H,1),1),0)</f>
        <v>0</v>
      </c>
      <c r="K576">
        <f>SUMIFS($I$2:I576,$D$2:D576,D576)-SUMIFS($J$2:J576,$D$2:D576,D576)</f>
        <v>0</v>
      </c>
    </row>
    <row r="577" spans="5:11" x14ac:dyDescent="0.3">
      <c r="E577">
        <f>IFERROR(_xlfn.XLOOKUP(D577,'ITEM MASTER'!$A:$A,'ITEM MASTER'!$B:$B,""),"")</f>
        <v>0</v>
      </c>
      <c r="F577" t="s">
        <v>44</v>
      </c>
      <c r="H577">
        <f>IFERROR(_xlfn.XLOOKUP(D577,'ITEM MASTER'!$A:$A,'ITEM MASTER'!$I:$I,"")*IF(F577="CARTON",_xlfn.XLOOKUP(D577,'ITEM MASTER'!$A:$A,'ITEM MASTER'!$H:$H,1),1),"")</f>
        <v>0</v>
      </c>
      <c r="I577">
        <f>IF(OR(C577="PURCHASE",C577="OPENING"),G577*IF(F577="CARTON",_xlfn.XLOOKUP(D577,'ITEM MASTER'!$A:$A,'ITEM MASTER'!$H:$H,1),1),0)</f>
        <v>0</v>
      </c>
      <c r="J577">
        <f>IF(C577="SALE",G577*IF(F577="CARTON",_xlfn.XLOOKUP(D577,'ITEM MASTER'!$A:$A,'ITEM MASTER'!$H:$H,1),1),0)</f>
        <v>0</v>
      </c>
      <c r="K577">
        <f>SUMIFS($I$2:I577,$D$2:D577,D577)-SUMIFS($J$2:J577,$D$2:D577,D577)</f>
        <v>0</v>
      </c>
    </row>
    <row r="578" spans="5:11" x14ac:dyDescent="0.3">
      <c r="E578">
        <f>IFERROR(_xlfn.XLOOKUP(D578,'ITEM MASTER'!$A:$A,'ITEM MASTER'!$B:$B,""),"")</f>
        <v>0</v>
      </c>
      <c r="F578" t="s">
        <v>44</v>
      </c>
      <c r="H578">
        <f>IFERROR(_xlfn.XLOOKUP(D578,'ITEM MASTER'!$A:$A,'ITEM MASTER'!$I:$I,"")*IF(F578="CARTON",_xlfn.XLOOKUP(D578,'ITEM MASTER'!$A:$A,'ITEM MASTER'!$H:$H,1),1),"")</f>
        <v>0</v>
      </c>
      <c r="I578">
        <f>IF(OR(C578="PURCHASE",C578="OPENING"),G578*IF(F578="CARTON",_xlfn.XLOOKUP(D578,'ITEM MASTER'!$A:$A,'ITEM MASTER'!$H:$H,1),1),0)</f>
        <v>0</v>
      </c>
      <c r="J578">
        <f>IF(C578="SALE",G578*IF(F578="CARTON",_xlfn.XLOOKUP(D578,'ITEM MASTER'!$A:$A,'ITEM MASTER'!$H:$H,1),1),0)</f>
        <v>0</v>
      </c>
      <c r="K578">
        <f>SUMIFS($I$2:I578,$D$2:D578,D578)-SUMIFS($J$2:J578,$D$2:D578,D578)</f>
        <v>0</v>
      </c>
    </row>
    <row r="579" spans="5:11" x14ac:dyDescent="0.3">
      <c r="E579">
        <f>IFERROR(_xlfn.XLOOKUP(D579,'ITEM MASTER'!$A:$A,'ITEM MASTER'!$B:$B,""),"")</f>
        <v>0</v>
      </c>
      <c r="F579" t="s">
        <v>44</v>
      </c>
      <c r="H579">
        <f>IFERROR(_xlfn.XLOOKUP(D579,'ITEM MASTER'!$A:$A,'ITEM MASTER'!$I:$I,"")*IF(F579="CARTON",_xlfn.XLOOKUP(D579,'ITEM MASTER'!$A:$A,'ITEM MASTER'!$H:$H,1),1),"")</f>
        <v>0</v>
      </c>
      <c r="I579">
        <f>IF(OR(C579="PURCHASE",C579="OPENING"),G579*IF(F579="CARTON",_xlfn.XLOOKUP(D579,'ITEM MASTER'!$A:$A,'ITEM MASTER'!$H:$H,1),1),0)</f>
        <v>0</v>
      </c>
      <c r="J579">
        <f>IF(C579="SALE",G579*IF(F579="CARTON",_xlfn.XLOOKUP(D579,'ITEM MASTER'!$A:$A,'ITEM MASTER'!$H:$H,1),1),0)</f>
        <v>0</v>
      </c>
      <c r="K579">
        <f>SUMIFS($I$2:I579,$D$2:D579,D579)-SUMIFS($J$2:J579,$D$2:D579,D579)</f>
        <v>0</v>
      </c>
    </row>
    <row r="580" spans="5:11" x14ac:dyDescent="0.3">
      <c r="E580">
        <f>IFERROR(_xlfn.XLOOKUP(D580,'ITEM MASTER'!$A:$A,'ITEM MASTER'!$B:$B,""),"")</f>
        <v>0</v>
      </c>
      <c r="F580" t="s">
        <v>44</v>
      </c>
      <c r="H580">
        <f>IFERROR(_xlfn.XLOOKUP(D580,'ITEM MASTER'!$A:$A,'ITEM MASTER'!$I:$I,"")*IF(F580="CARTON",_xlfn.XLOOKUP(D580,'ITEM MASTER'!$A:$A,'ITEM MASTER'!$H:$H,1),1),"")</f>
        <v>0</v>
      </c>
      <c r="I580">
        <f>IF(OR(C580="PURCHASE",C580="OPENING"),G580*IF(F580="CARTON",_xlfn.XLOOKUP(D580,'ITEM MASTER'!$A:$A,'ITEM MASTER'!$H:$H,1),1),0)</f>
        <v>0</v>
      </c>
      <c r="J580">
        <f>IF(C580="SALE",G580*IF(F580="CARTON",_xlfn.XLOOKUP(D580,'ITEM MASTER'!$A:$A,'ITEM MASTER'!$H:$H,1),1),0)</f>
        <v>0</v>
      </c>
      <c r="K580">
        <f>SUMIFS($I$2:I580,$D$2:D580,D580)-SUMIFS($J$2:J580,$D$2:D580,D580)</f>
        <v>0</v>
      </c>
    </row>
    <row r="581" spans="5:11" x14ac:dyDescent="0.3">
      <c r="E581">
        <f>IFERROR(_xlfn.XLOOKUP(D581,'ITEM MASTER'!$A:$A,'ITEM MASTER'!$B:$B,""),"")</f>
        <v>0</v>
      </c>
      <c r="F581" t="s">
        <v>44</v>
      </c>
      <c r="H581">
        <f>IFERROR(_xlfn.XLOOKUP(D581,'ITEM MASTER'!$A:$A,'ITEM MASTER'!$I:$I,"")*IF(F581="CARTON",_xlfn.XLOOKUP(D581,'ITEM MASTER'!$A:$A,'ITEM MASTER'!$H:$H,1),1),"")</f>
        <v>0</v>
      </c>
      <c r="I581">
        <f>IF(OR(C581="PURCHASE",C581="OPENING"),G581*IF(F581="CARTON",_xlfn.XLOOKUP(D581,'ITEM MASTER'!$A:$A,'ITEM MASTER'!$H:$H,1),1),0)</f>
        <v>0</v>
      </c>
      <c r="J581">
        <f>IF(C581="SALE",G581*IF(F581="CARTON",_xlfn.XLOOKUP(D581,'ITEM MASTER'!$A:$A,'ITEM MASTER'!$H:$H,1),1),0)</f>
        <v>0</v>
      </c>
      <c r="K581">
        <f>SUMIFS($I$2:I581,$D$2:D581,D581)-SUMIFS($J$2:J581,$D$2:D581,D581)</f>
        <v>0</v>
      </c>
    </row>
    <row r="582" spans="5:11" x14ac:dyDescent="0.3">
      <c r="E582">
        <f>IFERROR(_xlfn.XLOOKUP(D582,'ITEM MASTER'!$A:$A,'ITEM MASTER'!$B:$B,""),"")</f>
        <v>0</v>
      </c>
      <c r="F582" t="s">
        <v>44</v>
      </c>
      <c r="H582">
        <f>IFERROR(_xlfn.XLOOKUP(D582,'ITEM MASTER'!$A:$A,'ITEM MASTER'!$I:$I,"")*IF(F582="CARTON",_xlfn.XLOOKUP(D582,'ITEM MASTER'!$A:$A,'ITEM MASTER'!$H:$H,1),1),"")</f>
        <v>0</v>
      </c>
      <c r="I582">
        <f>IF(OR(C582="PURCHASE",C582="OPENING"),G582*IF(F582="CARTON",_xlfn.XLOOKUP(D582,'ITEM MASTER'!$A:$A,'ITEM MASTER'!$H:$H,1),1),0)</f>
        <v>0</v>
      </c>
      <c r="J582">
        <f>IF(C582="SALE",G582*IF(F582="CARTON",_xlfn.XLOOKUP(D582,'ITEM MASTER'!$A:$A,'ITEM MASTER'!$H:$H,1),1),0)</f>
        <v>0</v>
      </c>
      <c r="K582">
        <f>SUMIFS($I$2:I582,$D$2:D582,D582)-SUMIFS($J$2:J582,$D$2:D582,D582)</f>
        <v>0</v>
      </c>
    </row>
    <row r="583" spans="5:11" x14ac:dyDescent="0.3">
      <c r="E583">
        <f>IFERROR(_xlfn.XLOOKUP(D583,'ITEM MASTER'!$A:$A,'ITEM MASTER'!$B:$B,""),"")</f>
        <v>0</v>
      </c>
      <c r="F583" t="s">
        <v>44</v>
      </c>
      <c r="H583">
        <f>IFERROR(_xlfn.XLOOKUP(D583,'ITEM MASTER'!$A:$A,'ITEM MASTER'!$I:$I,"")*IF(F583="CARTON",_xlfn.XLOOKUP(D583,'ITEM MASTER'!$A:$A,'ITEM MASTER'!$H:$H,1),1),"")</f>
        <v>0</v>
      </c>
      <c r="I583">
        <f>IF(OR(C583="PURCHASE",C583="OPENING"),G583*IF(F583="CARTON",_xlfn.XLOOKUP(D583,'ITEM MASTER'!$A:$A,'ITEM MASTER'!$H:$H,1),1),0)</f>
        <v>0</v>
      </c>
      <c r="J583">
        <f>IF(C583="SALE",G583*IF(F583="CARTON",_xlfn.XLOOKUP(D583,'ITEM MASTER'!$A:$A,'ITEM MASTER'!$H:$H,1),1),0)</f>
        <v>0</v>
      </c>
      <c r="K583">
        <f>SUMIFS($I$2:I583,$D$2:D583,D583)-SUMIFS($J$2:J583,$D$2:D583,D583)</f>
        <v>0</v>
      </c>
    </row>
    <row r="584" spans="5:11" x14ac:dyDescent="0.3">
      <c r="E584">
        <f>IFERROR(_xlfn.XLOOKUP(D584,'ITEM MASTER'!$A:$A,'ITEM MASTER'!$B:$B,""),"")</f>
        <v>0</v>
      </c>
      <c r="F584" t="s">
        <v>44</v>
      </c>
      <c r="H584">
        <f>IFERROR(_xlfn.XLOOKUP(D584,'ITEM MASTER'!$A:$A,'ITEM MASTER'!$I:$I,"")*IF(F584="CARTON",_xlfn.XLOOKUP(D584,'ITEM MASTER'!$A:$A,'ITEM MASTER'!$H:$H,1),1),"")</f>
        <v>0</v>
      </c>
      <c r="I584">
        <f>IF(OR(C584="PURCHASE",C584="OPENING"),G584*IF(F584="CARTON",_xlfn.XLOOKUP(D584,'ITEM MASTER'!$A:$A,'ITEM MASTER'!$H:$H,1),1),0)</f>
        <v>0</v>
      </c>
      <c r="J584">
        <f>IF(C584="SALE",G584*IF(F584="CARTON",_xlfn.XLOOKUP(D584,'ITEM MASTER'!$A:$A,'ITEM MASTER'!$H:$H,1),1),0)</f>
        <v>0</v>
      </c>
      <c r="K584">
        <f>SUMIFS($I$2:I584,$D$2:D584,D584)-SUMIFS($J$2:J584,$D$2:D584,D584)</f>
        <v>0</v>
      </c>
    </row>
    <row r="585" spans="5:11" x14ac:dyDescent="0.3">
      <c r="E585">
        <f>IFERROR(_xlfn.XLOOKUP(D585,'ITEM MASTER'!$A:$A,'ITEM MASTER'!$B:$B,""),"")</f>
        <v>0</v>
      </c>
      <c r="F585" t="s">
        <v>44</v>
      </c>
      <c r="H585">
        <f>IFERROR(_xlfn.XLOOKUP(D585,'ITEM MASTER'!$A:$A,'ITEM MASTER'!$I:$I,"")*IF(F585="CARTON",_xlfn.XLOOKUP(D585,'ITEM MASTER'!$A:$A,'ITEM MASTER'!$H:$H,1),1),"")</f>
        <v>0</v>
      </c>
      <c r="I585">
        <f>IF(OR(C585="PURCHASE",C585="OPENING"),G585*IF(F585="CARTON",_xlfn.XLOOKUP(D585,'ITEM MASTER'!$A:$A,'ITEM MASTER'!$H:$H,1),1),0)</f>
        <v>0</v>
      </c>
      <c r="J585">
        <f>IF(C585="SALE",G585*IF(F585="CARTON",_xlfn.XLOOKUP(D585,'ITEM MASTER'!$A:$A,'ITEM MASTER'!$H:$H,1),1),0)</f>
        <v>0</v>
      </c>
      <c r="K585">
        <f>SUMIFS($I$2:I585,$D$2:D585,D585)-SUMIFS($J$2:J585,$D$2:D585,D585)</f>
        <v>0</v>
      </c>
    </row>
    <row r="586" spans="5:11" x14ac:dyDescent="0.3">
      <c r="E586">
        <f>IFERROR(_xlfn.XLOOKUP(D586,'ITEM MASTER'!$A:$A,'ITEM MASTER'!$B:$B,""),"")</f>
        <v>0</v>
      </c>
      <c r="F586" t="s">
        <v>44</v>
      </c>
      <c r="H586">
        <f>IFERROR(_xlfn.XLOOKUP(D586,'ITEM MASTER'!$A:$A,'ITEM MASTER'!$I:$I,"")*IF(F586="CARTON",_xlfn.XLOOKUP(D586,'ITEM MASTER'!$A:$A,'ITEM MASTER'!$H:$H,1),1),"")</f>
        <v>0</v>
      </c>
      <c r="I586">
        <f>IF(OR(C586="PURCHASE",C586="OPENING"),G586*IF(F586="CARTON",_xlfn.XLOOKUP(D586,'ITEM MASTER'!$A:$A,'ITEM MASTER'!$H:$H,1),1),0)</f>
        <v>0</v>
      </c>
      <c r="J586">
        <f>IF(C586="SALE",G586*IF(F586="CARTON",_xlfn.XLOOKUP(D586,'ITEM MASTER'!$A:$A,'ITEM MASTER'!$H:$H,1),1),0)</f>
        <v>0</v>
      </c>
      <c r="K586">
        <f>SUMIFS($I$2:I586,$D$2:D586,D586)-SUMIFS($J$2:J586,$D$2:D586,D586)</f>
        <v>0</v>
      </c>
    </row>
    <row r="587" spans="5:11" x14ac:dyDescent="0.3">
      <c r="E587">
        <f>IFERROR(_xlfn.XLOOKUP(D587,'ITEM MASTER'!$A:$A,'ITEM MASTER'!$B:$B,""),"")</f>
        <v>0</v>
      </c>
      <c r="F587" t="s">
        <v>44</v>
      </c>
      <c r="H587">
        <f>IFERROR(_xlfn.XLOOKUP(D587,'ITEM MASTER'!$A:$A,'ITEM MASTER'!$I:$I,"")*IF(F587="CARTON",_xlfn.XLOOKUP(D587,'ITEM MASTER'!$A:$A,'ITEM MASTER'!$H:$H,1),1),"")</f>
        <v>0</v>
      </c>
      <c r="I587">
        <f>IF(OR(C587="PURCHASE",C587="OPENING"),G587*IF(F587="CARTON",_xlfn.XLOOKUP(D587,'ITEM MASTER'!$A:$A,'ITEM MASTER'!$H:$H,1),1),0)</f>
        <v>0</v>
      </c>
      <c r="J587">
        <f>IF(C587="SALE",G587*IF(F587="CARTON",_xlfn.XLOOKUP(D587,'ITEM MASTER'!$A:$A,'ITEM MASTER'!$H:$H,1),1),0)</f>
        <v>0</v>
      </c>
      <c r="K587">
        <f>SUMIFS($I$2:I587,$D$2:D587,D587)-SUMIFS($J$2:J587,$D$2:D587,D587)</f>
        <v>0</v>
      </c>
    </row>
    <row r="588" spans="5:11" x14ac:dyDescent="0.3">
      <c r="E588">
        <f>IFERROR(_xlfn.XLOOKUP(D588,'ITEM MASTER'!$A:$A,'ITEM MASTER'!$B:$B,""),"")</f>
        <v>0</v>
      </c>
      <c r="F588" t="s">
        <v>44</v>
      </c>
      <c r="H588">
        <f>IFERROR(_xlfn.XLOOKUP(D588,'ITEM MASTER'!$A:$A,'ITEM MASTER'!$I:$I,"")*IF(F588="CARTON",_xlfn.XLOOKUP(D588,'ITEM MASTER'!$A:$A,'ITEM MASTER'!$H:$H,1),1),"")</f>
        <v>0</v>
      </c>
      <c r="I588">
        <f>IF(OR(C588="PURCHASE",C588="OPENING"),G588*IF(F588="CARTON",_xlfn.XLOOKUP(D588,'ITEM MASTER'!$A:$A,'ITEM MASTER'!$H:$H,1),1),0)</f>
        <v>0</v>
      </c>
      <c r="J588">
        <f>IF(C588="SALE",G588*IF(F588="CARTON",_xlfn.XLOOKUP(D588,'ITEM MASTER'!$A:$A,'ITEM MASTER'!$H:$H,1),1),0)</f>
        <v>0</v>
      </c>
      <c r="K588">
        <f>SUMIFS($I$2:I588,$D$2:D588,D588)-SUMIFS($J$2:J588,$D$2:D588,D588)</f>
        <v>0</v>
      </c>
    </row>
    <row r="589" spans="5:11" x14ac:dyDescent="0.3">
      <c r="E589">
        <f>IFERROR(_xlfn.XLOOKUP(D589,'ITEM MASTER'!$A:$A,'ITEM MASTER'!$B:$B,""),"")</f>
        <v>0</v>
      </c>
      <c r="F589" t="s">
        <v>44</v>
      </c>
      <c r="H589">
        <f>IFERROR(_xlfn.XLOOKUP(D589,'ITEM MASTER'!$A:$A,'ITEM MASTER'!$I:$I,"")*IF(F589="CARTON",_xlfn.XLOOKUP(D589,'ITEM MASTER'!$A:$A,'ITEM MASTER'!$H:$H,1),1),"")</f>
        <v>0</v>
      </c>
      <c r="I589">
        <f>IF(OR(C589="PURCHASE",C589="OPENING"),G589*IF(F589="CARTON",_xlfn.XLOOKUP(D589,'ITEM MASTER'!$A:$A,'ITEM MASTER'!$H:$H,1),1),0)</f>
        <v>0</v>
      </c>
      <c r="J589">
        <f>IF(C589="SALE",G589*IF(F589="CARTON",_xlfn.XLOOKUP(D589,'ITEM MASTER'!$A:$A,'ITEM MASTER'!$H:$H,1),1),0)</f>
        <v>0</v>
      </c>
      <c r="K589">
        <f>SUMIFS($I$2:I589,$D$2:D589,D589)-SUMIFS($J$2:J589,$D$2:D589,D589)</f>
        <v>0</v>
      </c>
    </row>
    <row r="590" spans="5:11" x14ac:dyDescent="0.3">
      <c r="E590">
        <f>IFERROR(_xlfn.XLOOKUP(D590,'ITEM MASTER'!$A:$A,'ITEM MASTER'!$B:$B,""),"")</f>
        <v>0</v>
      </c>
      <c r="F590" t="s">
        <v>44</v>
      </c>
      <c r="H590">
        <f>IFERROR(_xlfn.XLOOKUP(D590,'ITEM MASTER'!$A:$A,'ITEM MASTER'!$I:$I,"")*IF(F590="CARTON",_xlfn.XLOOKUP(D590,'ITEM MASTER'!$A:$A,'ITEM MASTER'!$H:$H,1),1),"")</f>
        <v>0</v>
      </c>
      <c r="I590">
        <f>IF(OR(C590="PURCHASE",C590="OPENING"),G590*IF(F590="CARTON",_xlfn.XLOOKUP(D590,'ITEM MASTER'!$A:$A,'ITEM MASTER'!$H:$H,1),1),0)</f>
        <v>0</v>
      </c>
      <c r="J590">
        <f>IF(C590="SALE",G590*IF(F590="CARTON",_xlfn.XLOOKUP(D590,'ITEM MASTER'!$A:$A,'ITEM MASTER'!$H:$H,1),1),0)</f>
        <v>0</v>
      </c>
      <c r="K590">
        <f>SUMIFS($I$2:I590,$D$2:D590,D590)-SUMIFS($J$2:J590,$D$2:D590,D590)</f>
        <v>0</v>
      </c>
    </row>
    <row r="591" spans="5:11" x14ac:dyDescent="0.3">
      <c r="E591">
        <f>IFERROR(_xlfn.XLOOKUP(D591,'ITEM MASTER'!$A:$A,'ITEM MASTER'!$B:$B,""),"")</f>
        <v>0</v>
      </c>
      <c r="F591" t="s">
        <v>44</v>
      </c>
      <c r="H591">
        <f>IFERROR(_xlfn.XLOOKUP(D591,'ITEM MASTER'!$A:$A,'ITEM MASTER'!$I:$I,"")*IF(F591="CARTON",_xlfn.XLOOKUP(D591,'ITEM MASTER'!$A:$A,'ITEM MASTER'!$H:$H,1),1),"")</f>
        <v>0</v>
      </c>
      <c r="I591">
        <f>IF(OR(C591="PURCHASE",C591="OPENING"),G591*IF(F591="CARTON",_xlfn.XLOOKUP(D591,'ITEM MASTER'!$A:$A,'ITEM MASTER'!$H:$H,1),1),0)</f>
        <v>0</v>
      </c>
      <c r="J591">
        <f>IF(C591="SALE",G591*IF(F591="CARTON",_xlfn.XLOOKUP(D591,'ITEM MASTER'!$A:$A,'ITEM MASTER'!$H:$H,1),1),0)</f>
        <v>0</v>
      </c>
      <c r="K591">
        <f>SUMIFS($I$2:I591,$D$2:D591,D591)-SUMIFS($J$2:J591,$D$2:D591,D591)</f>
        <v>0</v>
      </c>
    </row>
    <row r="592" spans="5:11" x14ac:dyDescent="0.3">
      <c r="E592">
        <f>IFERROR(_xlfn.XLOOKUP(D592,'ITEM MASTER'!$A:$A,'ITEM MASTER'!$B:$B,""),"")</f>
        <v>0</v>
      </c>
      <c r="F592" t="s">
        <v>44</v>
      </c>
      <c r="H592">
        <f>IFERROR(_xlfn.XLOOKUP(D592,'ITEM MASTER'!$A:$A,'ITEM MASTER'!$I:$I,"")*IF(F592="CARTON",_xlfn.XLOOKUP(D592,'ITEM MASTER'!$A:$A,'ITEM MASTER'!$H:$H,1),1),"")</f>
        <v>0</v>
      </c>
      <c r="I592">
        <f>IF(OR(C592="PURCHASE",C592="OPENING"),G592*IF(F592="CARTON",_xlfn.XLOOKUP(D592,'ITEM MASTER'!$A:$A,'ITEM MASTER'!$H:$H,1),1),0)</f>
        <v>0</v>
      </c>
      <c r="J592">
        <f>IF(C592="SALE",G592*IF(F592="CARTON",_xlfn.XLOOKUP(D592,'ITEM MASTER'!$A:$A,'ITEM MASTER'!$H:$H,1),1),0)</f>
        <v>0</v>
      </c>
      <c r="K592">
        <f>SUMIFS($I$2:I592,$D$2:D592,D592)-SUMIFS($J$2:J592,$D$2:D592,D592)</f>
        <v>0</v>
      </c>
    </row>
    <row r="593" spans="5:11" x14ac:dyDescent="0.3">
      <c r="E593">
        <f>IFERROR(_xlfn.XLOOKUP(D593,'ITEM MASTER'!$A:$A,'ITEM MASTER'!$B:$B,""),"")</f>
        <v>0</v>
      </c>
      <c r="F593" t="s">
        <v>44</v>
      </c>
      <c r="H593">
        <f>IFERROR(_xlfn.XLOOKUP(D593,'ITEM MASTER'!$A:$A,'ITEM MASTER'!$I:$I,"")*IF(F593="CARTON",_xlfn.XLOOKUP(D593,'ITEM MASTER'!$A:$A,'ITEM MASTER'!$H:$H,1),1),"")</f>
        <v>0</v>
      </c>
      <c r="I593">
        <f>IF(OR(C593="PURCHASE",C593="OPENING"),G593*IF(F593="CARTON",_xlfn.XLOOKUP(D593,'ITEM MASTER'!$A:$A,'ITEM MASTER'!$H:$H,1),1),0)</f>
        <v>0</v>
      </c>
      <c r="J593">
        <f>IF(C593="SALE",G593*IF(F593="CARTON",_xlfn.XLOOKUP(D593,'ITEM MASTER'!$A:$A,'ITEM MASTER'!$H:$H,1),1),0)</f>
        <v>0</v>
      </c>
      <c r="K593">
        <f>SUMIFS($I$2:I593,$D$2:D593,D593)-SUMIFS($J$2:J593,$D$2:D593,D593)</f>
        <v>0</v>
      </c>
    </row>
    <row r="594" spans="5:11" x14ac:dyDescent="0.3">
      <c r="E594">
        <f>IFERROR(_xlfn.XLOOKUP(D594,'ITEM MASTER'!$A:$A,'ITEM MASTER'!$B:$B,""),"")</f>
        <v>0</v>
      </c>
      <c r="F594" t="s">
        <v>44</v>
      </c>
      <c r="H594">
        <f>IFERROR(_xlfn.XLOOKUP(D594,'ITEM MASTER'!$A:$A,'ITEM MASTER'!$I:$I,"")*IF(F594="CARTON",_xlfn.XLOOKUP(D594,'ITEM MASTER'!$A:$A,'ITEM MASTER'!$H:$H,1),1),"")</f>
        <v>0</v>
      </c>
      <c r="I594">
        <f>IF(OR(C594="PURCHASE",C594="OPENING"),G594*IF(F594="CARTON",_xlfn.XLOOKUP(D594,'ITEM MASTER'!$A:$A,'ITEM MASTER'!$H:$H,1),1),0)</f>
        <v>0</v>
      </c>
      <c r="J594">
        <f>IF(C594="SALE",G594*IF(F594="CARTON",_xlfn.XLOOKUP(D594,'ITEM MASTER'!$A:$A,'ITEM MASTER'!$H:$H,1),1),0)</f>
        <v>0</v>
      </c>
      <c r="K594">
        <f>SUMIFS($I$2:I594,$D$2:D594,D594)-SUMIFS($J$2:J594,$D$2:D594,D594)</f>
        <v>0</v>
      </c>
    </row>
    <row r="595" spans="5:11" x14ac:dyDescent="0.3">
      <c r="E595">
        <f>IFERROR(_xlfn.XLOOKUP(D595,'ITEM MASTER'!$A:$A,'ITEM MASTER'!$B:$B,""),"")</f>
        <v>0</v>
      </c>
      <c r="F595" t="s">
        <v>44</v>
      </c>
      <c r="H595">
        <f>IFERROR(_xlfn.XLOOKUP(D595,'ITEM MASTER'!$A:$A,'ITEM MASTER'!$I:$I,"")*IF(F595="CARTON",_xlfn.XLOOKUP(D595,'ITEM MASTER'!$A:$A,'ITEM MASTER'!$H:$H,1),1),"")</f>
        <v>0</v>
      </c>
      <c r="I595">
        <f>IF(OR(C595="PURCHASE",C595="OPENING"),G595*IF(F595="CARTON",_xlfn.XLOOKUP(D595,'ITEM MASTER'!$A:$A,'ITEM MASTER'!$H:$H,1),1),0)</f>
        <v>0</v>
      </c>
      <c r="J595">
        <f>IF(C595="SALE",G595*IF(F595="CARTON",_xlfn.XLOOKUP(D595,'ITEM MASTER'!$A:$A,'ITEM MASTER'!$H:$H,1),1),0)</f>
        <v>0</v>
      </c>
      <c r="K595">
        <f>SUMIFS($I$2:I595,$D$2:D595,D595)-SUMIFS($J$2:J595,$D$2:D595,D595)</f>
        <v>0</v>
      </c>
    </row>
    <row r="596" spans="5:11" x14ac:dyDescent="0.3">
      <c r="E596">
        <f>IFERROR(_xlfn.XLOOKUP(D596,'ITEM MASTER'!$A:$A,'ITEM MASTER'!$B:$B,""),"")</f>
        <v>0</v>
      </c>
      <c r="F596" t="s">
        <v>44</v>
      </c>
      <c r="H596">
        <f>IFERROR(_xlfn.XLOOKUP(D596,'ITEM MASTER'!$A:$A,'ITEM MASTER'!$I:$I,"")*IF(F596="CARTON",_xlfn.XLOOKUP(D596,'ITEM MASTER'!$A:$A,'ITEM MASTER'!$H:$H,1),1),"")</f>
        <v>0</v>
      </c>
      <c r="I596">
        <f>IF(OR(C596="PURCHASE",C596="OPENING"),G596*IF(F596="CARTON",_xlfn.XLOOKUP(D596,'ITEM MASTER'!$A:$A,'ITEM MASTER'!$H:$H,1),1),0)</f>
        <v>0</v>
      </c>
      <c r="J596">
        <f>IF(C596="SALE",G596*IF(F596="CARTON",_xlfn.XLOOKUP(D596,'ITEM MASTER'!$A:$A,'ITEM MASTER'!$H:$H,1),1),0)</f>
        <v>0</v>
      </c>
      <c r="K596">
        <f>SUMIFS($I$2:I596,$D$2:D596,D596)-SUMIFS($J$2:J596,$D$2:D596,D596)</f>
        <v>0</v>
      </c>
    </row>
    <row r="597" spans="5:11" x14ac:dyDescent="0.3">
      <c r="E597">
        <f>IFERROR(_xlfn.XLOOKUP(D597,'ITEM MASTER'!$A:$A,'ITEM MASTER'!$B:$B,""),"")</f>
        <v>0</v>
      </c>
      <c r="F597" t="s">
        <v>44</v>
      </c>
      <c r="H597">
        <f>IFERROR(_xlfn.XLOOKUP(D597,'ITEM MASTER'!$A:$A,'ITEM MASTER'!$I:$I,"")*IF(F597="CARTON",_xlfn.XLOOKUP(D597,'ITEM MASTER'!$A:$A,'ITEM MASTER'!$H:$H,1),1),"")</f>
        <v>0</v>
      </c>
      <c r="I597">
        <f>IF(OR(C597="PURCHASE",C597="OPENING"),G597*IF(F597="CARTON",_xlfn.XLOOKUP(D597,'ITEM MASTER'!$A:$A,'ITEM MASTER'!$H:$H,1),1),0)</f>
        <v>0</v>
      </c>
      <c r="J597">
        <f>IF(C597="SALE",G597*IF(F597="CARTON",_xlfn.XLOOKUP(D597,'ITEM MASTER'!$A:$A,'ITEM MASTER'!$H:$H,1),1),0)</f>
        <v>0</v>
      </c>
      <c r="K597">
        <f>SUMIFS($I$2:I597,$D$2:D597,D597)-SUMIFS($J$2:J597,$D$2:D597,D597)</f>
        <v>0</v>
      </c>
    </row>
    <row r="598" spans="5:11" x14ac:dyDescent="0.3">
      <c r="E598">
        <f>IFERROR(_xlfn.XLOOKUP(D598,'ITEM MASTER'!$A:$A,'ITEM MASTER'!$B:$B,""),"")</f>
        <v>0</v>
      </c>
      <c r="F598" t="s">
        <v>44</v>
      </c>
      <c r="H598">
        <f>IFERROR(_xlfn.XLOOKUP(D598,'ITEM MASTER'!$A:$A,'ITEM MASTER'!$I:$I,"")*IF(F598="CARTON",_xlfn.XLOOKUP(D598,'ITEM MASTER'!$A:$A,'ITEM MASTER'!$H:$H,1),1),"")</f>
        <v>0</v>
      </c>
      <c r="I598">
        <f>IF(OR(C598="PURCHASE",C598="OPENING"),G598*IF(F598="CARTON",_xlfn.XLOOKUP(D598,'ITEM MASTER'!$A:$A,'ITEM MASTER'!$H:$H,1),1),0)</f>
        <v>0</v>
      </c>
      <c r="J598">
        <f>IF(C598="SALE",G598*IF(F598="CARTON",_xlfn.XLOOKUP(D598,'ITEM MASTER'!$A:$A,'ITEM MASTER'!$H:$H,1),1),0)</f>
        <v>0</v>
      </c>
      <c r="K598">
        <f>SUMIFS($I$2:I598,$D$2:D598,D598)-SUMIFS($J$2:J598,$D$2:D598,D598)</f>
        <v>0</v>
      </c>
    </row>
    <row r="599" spans="5:11" x14ac:dyDescent="0.3">
      <c r="E599">
        <f>IFERROR(_xlfn.XLOOKUP(D599,'ITEM MASTER'!$A:$A,'ITEM MASTER'!$B:$B,""),"")</f>
        <v>0</v>
      </c>
      <c r="F599" t="s">
        <v>44</v>
      </c>
      <c r="H599">
        <f>IFERROR(_xlfn.XLOOKUP(D599,'ITEM MASTER'!$A:$A,'ITEM MASTER'!$I:$I,"")*IF(F599="CARTON",_xlfn.XLOOKUP(D599,'ITEM MASTER'!$A:$A,'ITEM MASTER'!$H:$H,1),1),"")</f>
        <v>0</v>
      </c>
      <c r="I599">
        <f>IF(OR(C599="PURCHASE",C599="OPENING"),G599*IF(F599="CARTON",_xlfn.XLOOKUP(D599,'ITEM MASTER'!$A:$A,'ITEM MASTER'!$H:$H,1),1),0)</f>
        <v>0</v>
      </c>
      <c r="J599">
        <f>IF(C599="SALE",G599*IF(F599="CARTON",_xlfn.XLOOKUP(D599,'ITEM MASTER'!$A:$A,'ITEM MASTER'!$H:$H,1),1),0)</f>
        <v>0</v>
      </c>
      <c r="K599">
        <f>SUMIFS($I$2:I599,$D$2:D599,D599)-SUMIFS($J$2:J599,$D$2:D599,D599)</f>
        <v>0</v>
      </c>
    </row>
    <row r="600" spans="5:11" x14ac:dyDescent="0.3">
      <c r="E600">
        <f>IFERROR(_xlfn.XLOOKUP(D600,'ITEM MASTER'!$A:$A,'ITEM MASTER'!$B:$B,""),"")</f>
        <v>0</v>
      </c>
      <c r="F600" t="s">
        <v>44</v>
      </c>
      <c r="H600">
        <f>IFERROR(_xlfn.XLOOKUP(D600,'ITEM MASTER'!$A:$A,'ITEM MASTER'!$I:$I,"")*IF(F600="CARTON",_xlfn.XLOOKUP(D600,'ITEM MASTER'!$A:$A,'ITEM MASTER'!$H:$H,1),1),"")</f>
        <v>0</v>
      </c>
      <c r="I600">
        <f>IF(OR(C600="PURCHASE",C600="OPENING"),G600*IF(F600="CARTON",_xlfn.XLOOKUP(D600,'ITEM MASTER'!$A:$A,'ITEM MASTER'!$H:$H,1),1),0)</f>
        <v>0</v>
      </c>
      <c r="J600">
        <f>IF(C600="SALE",G600*IF(F600="CARTON",_xlfn.XLOOKUP(D600,'ITEM MASTER'!$A:$A,'ITEM MASTER'!$H:$H,1),1),0)</f>
        <v>0</v>
      </c>
      <c r="K600">
        <f>SUMIFS($I$2:I600,$D$2:D600,D600)-SUMIFS($J$2:J600,$D$2:D600,D600)</f>
        <v>0</v>
      </c>
    </row>
    <row r="601" spans="5:11" x14ac:dyDescent="0.3">
      <c r="E601">
        <f>IFERROR(_xlfn.XLOOKUP(D601,'ITEM MASTER'!$A:$A,'ITEM MASTER'!$B:$B,""),"")</f>
        <v>0</v>
      </c>
      <c r="F601" t="s">
        <v>44</v>
      </c>
      <c r="H601">
        <f>IFERROR(_xlfn.XLOOKUP(D601,'ITEM MASTER'!$A:$A,'ITEM MASTER'!$I:$I,"")*IF(F601="CARTON",_xlfn.XLOOKUP(D601,'ITEM MASTER'!$A:$A,'ITEM MASTER'!$H:$H,1),1),"")</f>
        <v>0</v>
      </c>
      <c r="I601">
        <f>IF(OR(C601="PURCHASE",C601="OPENING"),G601*IF(F601="CARTON",_xlfn.XLOOKUP(D601,'ITEM MASTER'!$A:$A,'ITEM MASTER'!$H:$H,1),1),0)</f>
        <v>0</v>
      </c>
      <c r="J601">
        <f>IF(C601="SALE",G601*IF(F601="CARTON",_xlfn.XLOOKUP(D601,'ITEM MASTER'!$A:$A,'ITEM MASTER'!$H:$H,1),1),0)</f>
        <v>0</v>
      </c>
      <c r="K601">
        <f>SUMIFS($I$2:I601,$D$2:D601,D601)-SUMIFS($J$2:J601,$D$2:D601,D601)</f>
        <v>0</v>
      </c>
    </row>
    <row r="602" spans="5:11" x14ac:dyDescent="0.3">
      <c r="E602">
        <f>IFERROR(_xlfn.XLOOKUP(D602,'ITEM MASTER'!$A:$A,'ITEM MASTER'!$B:$B,""),"")</f>
        <v>0</v>
      </c>
      <c r="F602" t="s">
        <v>44</v>
      </c>
      <c r="H602">
        <f>IFERROR(_xlfn.XLOOKUP(D602,'ITEM MASTER'!$A:$A,'ITEM MASTER'!$I:$I,"")*IF(F602="CARTON",_xlfn.XLOOKUP(D602,'ITEM MASTER'!$A:$A,'ITEM MASTER'!$H:$H,1),1),"")</f>
        <v>0</v>
      </c>
      <c r="I602">
        <f>IF(OR(C602="PURCHASE",C602="OPENING"),G602*IF(F602="CARTON",_xlfn.XLOOKUP(D602,'ITEM MASTER'!$A:$A,'ITEM MASTER'!$H:$H,1),1),0)</f>
        <v>0</v>
      </c>
      <c r="J602">
        <f>IF(C602="SALE",G602*IF(F602="CARTON",_xlfn.XLOOKUP(D602,'ITEM MASTER'!$A:$A,'ITEM MASTER'!$H:$H,1),1),0)</f>
        <v>0</v>
      </c>
      <c r="K602">
        <f>SUMIFS($I$2:I602,$D$2:D602,D602)-SUMIFS($J$2:J602,$D$2:D602,D602)</f>
        <v>0</v>
      </c>
    </row>
    <row r="603" spans="5:11" x14ac:dyDescent="0.3">
      <c r="E603">
        <f>IFERROR(_xlfn.XLOOKUP(D603,'ITEM MASTER'!$A:$A,'ITEM MASTER'!$B:$B,""),"")</f>
        <v>0</v>
      </c>
      <c r="F603" t="s">
        <v>44</v>
      </c>
      <c r="H603">
        <f>IFERROR(_xlfn.XLOOKUP(D603,'ITEM MASTER'!$A:$A,'ITEM MASTER'!$I:$I,"")*IF(F603="CARTON",_xlfn.XLOOKUP(D603,'ITEM MASTER'!$A:$A,'ITEM MASTER'!$H:$H,1),1),"")</f>
        <v>0</v>
      </c>
      <c r="I603">
        <f>IF(OR(C603="PURCHASE",C603="OPENING"),G603*IF(F603="CARTON",_xlfn.XLOOKUP(D603,'ITEM MASTER'!$A:$A,'ITEM MASTER'!$H:$H,1),1),0)</f>
        <v>0</v>
      </c>
      <c r="J603">
        <f>IF(C603="SALE",G603*IF(F603="CARTON",_xlfn.XLOOKUP(D603,'ITEM MASTER'!$A:$A,'ITEM MASTER'!$H:$H,1),1),0)</f>
        <v>0</v>
      </c>
      <c r="K603">
        <f>SUMIFS($I$2:I603,$D$2:D603,D603)-SUMIFS($J$2:J603,$D$2:D603,D603)</f>
        <v>0</v>
      </c>
    </row>
    <row r="604" spans="5:11" x14ac:dyDescent="0.3">
      <c r="E604">
        <f>IFERROR(_xlfn.XLOOKUP(D604,'ITEM MASTER'!$A:$A,'ITEM MASTER'!$B:$B,""),"")</f>
        <v>0</v>
      </c>
      <c r="F604" t="s">
        <v>44</v>
      </c>
      <c r="H604">
        <f>IFERROR(_xlfn.XLOOKUP(D604,'ITEM MASTER'!$A:$A,'ITEM MASTER'!$I:$I,"")*IF(F604="CARTON",_xlfn.XLOOKUP(D604,'ITEM MASTER'!$A:$A,'ITEM MASTER'!$H:$H,1),1),"")</f>
        <v>0</v>
      </c>
      <c r="I604">
        <f>IF(OR(C604="PURCHASE",C604="OPENING"),G604*IF(F604="CARTON",_xlfn.XLOOKUP(D604,'ITEM MASTER'!$A:$A,'ITEM MASTER'!$H:$H,1),1),0)</f>
        <v>0</v>
      </c>
      <c r="J604">
        <f>IF(C604="SALE",G604*IF(F604="CARTON",_xlfn.XLOOKUP(D604,'ITEM MASTER'!$A:$A,'ITEM MASTER'!$H:$H,1),1),0)</f>
        <v>0</v>
      </c>
      <c r="K604">
        <f>SUMIFS($I$2:I604,$D$2:D604,D604)-SUMIFS($J$2:J604,$D$2:D604,D604)</f>
        <v>0</v>
      </c>
    </row>
    <row r="605" spans="5:11" x14ac:dyDescent="0.3">
      <c r="E605">
        <f>IFERROR(_xlfn.XLOOKUP(D605,'ITEM MASTER'!$A:$A,'ITEM MASTER'!$B:$B,""),"")</f>
        <v>0</v>
      </c>
      <c r="F605" t="s">
        <v>44</v>
      </c>
      <c r="H605">
        <f>IFERROR(_xlfn.XLOOKUP(D605,'ITEM MASTER'!$A:$A,'ITEM MASTER'!$I:$I,"")*IF(F605="CARTON",_xlfn.XLOOKUP(D605,'ITEM MASTER'!$A:$A,'ITEM MASTER'!$H:$H,1),1),"")</f>
        <v>0</v>
      </c>
      <c r="I605">
        <f>IF(OR(C605="PURCHASE",C605="OPENING"),G605*IF(F605="CARTON",_xlfn.XLOOKUP(D605,'ITEM MASTER'!$A:$A,'ITEM MASTER'!$H:$H,1),1),0)</f>
        <v>0</v>
      </c>
      <c r="J605">
        <f>IF(C605="SALE",G605*IF(F605="CARTON",_xlfn.XLOOKUP(D605,'ITEM MASTER'!$A:$A,'ITEM MASTER'!$H:$H,1),1),0)</f>
        <v>0</v>
      </c>
      <c r="K605">
        <f>SUMIFS($I$2:I605,$D$2:D605,D605)-SUMIFS($J$2:J605,$D$2:D605,D605)</f>
        <v>0</v>
      </c>
    </row>
    <row r="606" spans="5:11" x14ac:dyDescent="0.3">
      <c r="E606">
        <f>IFERROR(_xlfn.XLOOKUP(D606,'ITEM MASTER'!$A:$A,'ITEM MASTER'!$B:$B,""),"")</f>
        <v>0</v>
      </c>
      <c r="F606" t="s">
        <v>44</v>
      </c>
      <c r="H606">
        <f>IFERROR(_xlfn.XLOOKUP(D606,'ITEM MASTER'!$A:$A,'ITEM MASTER'!$I:$I,"")*IF(F606="CARTON",_xlfn.XLOOKUP(D606,'ITEM MASTER'!$A:$A,'ITEM MASTER'!$H:$H,1),1),"")</f>
        <v>0</v>
      </c>
      <c r="I606">
        <f>IF(OR(C606="PURCHASE",C606="OPENING"),G606*IF(F606="CARTON",_xlfn.XLOOKUP(D606,'ITEM MASTER'!$A:$A,'ITEM MASTER'!$H:$H,1),1),0)</f>
        <v>0</v>
      </c>
      <c r="J606">
        <f>IF(C606="SALE",G606*IF(F606="CARTON",_xlfn.XLOOKUP(D606,'ITEM MASTER'!$A:$A,'ITEM MASTER'!$H:$H,1),1),0)</f>
        <v>0</v>
      </c>
      <c r="K606">
        <f>SUMIFS($I$2:I606,$D$2:D606,D606)-SUMIFS($J$2:J606,$D$2:D606,D606)</f>
        <v>0</v>
      </c>
    </row>
    <row r="607" spans="5:11" x14ac:dyDescent="0.3">
      <c r="E607">
        <f>IFERROR(_xlfn.XLOOKUP(D607,'ITEM MASTER'!$A:$A,'ITEM MASTER'!$B:$B,""),"")</f>
        <v>0</v>
      </c>
      <c r="F607" t="s">
        <v>44</v>
      </c>
      <c r="H607">
        <f>IFERROR(_xlfn.XLOOKUP(D607,'ITEM MASTER'!$A:$A,'ITEM MASTER'!$I:$I,"")*IF(F607="CARTON",_xlfn.XLOOKUP(D607,'ITEM MASTER'!$A:$A,'ITEM MASTER'!$H:$H,1),1),"")</f>
        <v>0</v>
      </c>
      <c r="I607">
        <f>IF(OR(C607="PURCHASE",C607="OPENING"),G607*IF(F607="CARTON",_xlfn.XLOOKUP(D607,'ITEM MASTER'!$A:$A,'ITEM MASTER'!$H:$H,1),1),0)</f>
        <v>0</v>
      </c>
      <c r="J607">
        <f>IF(C607="SALE",G607*IF(F607="CARTON",_xlfn.XLOOKUP(D607,'ITEM MASTER'!$A:$A,'ITEM MASTER'!$H:$H,1),1),0)</f>
        <v>0</v>
      </c>
      <c r="K607">
        <f>SUMIFS($I$2:I607,$D$2:D607,D607)-SUMIFS($J$2:J607,$D$2:D607,D607)</f>
        <v>0</v>
      </c>
    </row>
    <row r="608" spans="5:11" x14ac:dyDescent="0.3">
      <c r="E608">
        <f>IFERROR(_xlfn.XLOOKUP(D608,'ITEM MASTER'!$A:$A,'ITEM MASTER'!$B:$B,""),"")</f>
        <v>0</v>
      </c>
      <c r="F608" t="s">
        <v>44</v>
      </c>
      <c r="H608">
        <f>IFERROR(_xlfn.XLOOKUP(D608,'ITEM MASTER'!$A:$A,'ITEM MASTER'!$I:$I,"")*IF(F608="CARTON",_xlfn.XLOOKUP(D608,'ITEM MASTER'!$A:$A,'ITEM MASTER'!$H:$H,1),1),"")</f>
        <v>0</v>
      </c>
      <c r="I608">
        <f>IF(OR(C608="PURCHASE",C608="OPENING"),G608*IF(F608="CARTON",_xlfn.XLOOKUP(D608,'ITEM MASTER'!$A:$A,'ITEM MASTER'!$H:$H,1),1),0)</f>
        <v>0</v>
      </c>
      <c r="J608">
        <f>IF(C608="SALE",G608*IF(F608="CARTON",_xlfn.XLOOKUP(D608,'ITEM MASTER'!$A:$A,'ITEM MASTER'!$H:$H,1),1),0)</f>
        <v>0</v>
      </c>
      <c r="K608">
        <f>SUMIFS($I$2:I608,$D$2:D608,D608)-SUMIFS($J$2:J608,$D$2:D608,D608)</f>
        <v>0</v>
      </c>
    </row>
    <row r="609" spans="5:11" x14ac:dyDescent="0.3">
      <c r="E609">
        <f>IFERROR(_xlfn.XLOOKUP(D609,'ITEM MASTER'!$A:$A,'ITEM MASTER'!$B:$B,""),"")</f>
        <v>0</v>
      </c>
      <c r="F609" t="s">
        <v>44</v>
      </c>
      <c r="H609">
        <f>IFERROR(_xlfn.XLOOKUP(D609,'ITEM MASTER'!$A:$A,'ITEM MASTER'!$I:$I,"")*IF(F609="CARTON",_xlfn.XLOOKUP(D609,'ITEM MASTER'!$A:$A,'ITEM MASTER'!$H:$H,1),1),"")</f>
        <v>0</v>
      </c>
      <c r="I609">
        <f>IF(OR(C609="PURCHASE",C609="OPENING"),G609*IF(F609="CARTON",_xlfn.XLOOKUP(D609,'ITEM MASTER'!$A:$A,'ITEM MASTER'!$H:$H,1),1),0)</f>
        <v>0</v>
      </c>
      <c r="J609">
        <f>IF(C609="SALE",G609*IF(F609="CARTON",_xlfn.XLOOKUP(D609,'ITEM MASTER'!$A:$A,'ITEM MASTER'!$H:$H,1),1),0)</f>
        <v>0</v>
      </c>
      <c r="K609">
        <f>SUMIFS($I$2:I609,$D$2:D609,D609)-SUMIFS($J$2:J609,$D$2:D609,D609)</f>
        <v>0</v>
      </c>
    </row>
    <row r="610" spans="5:11" x14ac:dyDescent="0.3">
      <c r="E610">
        <f>IFERROR(_xlfn.XLOOKUP(D610,'ITEM MASTER'!$A:$A,'ITEM MASTER'!$B:$B,""),"")</f>
        <v>0</v>
      </c>
      <c r="F610" t="s">
        <v>44</v>
      </c>
      <c r="H610">
        <f>IFERROR(_xlfn.XLOOKUP(D610,'ITEM MASTER'!$A:$A,'ITEM MASTER'!$I:$I,"")*IF(F610="CARTON",_xlfn.XLOOKUP(D610,'ITEM MASTER'!$A:$A,'ITEM MASTER'!$H:$H,1),1),"")</f>
        <v>0</v>
      </c>
      <c r="I610">
        <f>IF(OR(C610="PURCHASE",C610="OPENING"),G610*IF(F610="CARTON",_xlfn.XLOOKUP(D610,'ITEM MASTER'!$A:$A,'ITEM MASTER'!$H:$H,1),1),0)</f>
        <v>0</v>
      </c>
      <c r="J610">
        <f>IF(C610="SALE",G610*IF(F610="CARTON",_xlfn.XLOOKUP(D610,'ITEM MASTER'!$A:$A,'ITEM MASTER'!$H:$H,1),1),0)</f>
        <v>0</v>
      </c>
      <c r="K610">
        <f>SUMIFS($I$2:I610,$D$2:D610,D610)-SUMIFS($J$2:J610,$D$2:D610,D610)</f>
        <v>0</v>
      </c>
    </row>
    <row r="611" spans="5:11" x14ac:dyDescent="0.3">
      <c r="E611">
        <f>IFERROR(_xlfn.XLOOKUP(D611,'ITEM MASTER'!$A:$A,'ITEM MASTER'!$B:$B,""),"")</f>
        <v>0</v>
      </c>
      <c r="F611" t="s">
        <v>44</v>
      </c>
      <c r="H611">
        <f>IFERROR(_xlfn.XLOOKUP(D611,'ITEM MASTER'!$A:$A,'ITEM MASTER'!$I:$I,"")*IF(F611="CARTON",_xlfn.XLOOKUP(D611,'ITEM MASTER'!$A:$A,'ITEM MASTER'!$H:$H,1),1),"")</f>
        <v>0</v>
      </c>
      <c r="I611">
        <f>IF(OR(C611="PURCHASE",C611="OPENING"),G611*IF(F611="CARTON",_xlfn.XLOOKUP(D611,'ITEM MASTER'!$A:$A,'ITEM MASTER'!$H:$H,1),1),0)</f>
        <v>0</v>
      </c>
      <c r="J611">
        <f>IF(C611="SALE",G611*IF(F611="CARTON",_xlfn.XLOOKUP(D611,'ITEM MASTER'!$A:$A,'ITEM MASTER'!$H:$H,1),1),0)</f>
        <v>0</v>
      </c>
      <c r="K611">
        <f>SUMIFS($I$2:I611,$D$2:D611,D611)-SUMIFS($J$2:J611,$D$2:D611,D611)</f>
        <v>0</v>
      </c>
    </row>
    <row r="612" spans="5:11" x14ac:dyDescent="0.3">
      <c r="E612">
        <f>IFERROR(_xlfn.XLOOKUP(D612,'ITEM MASTER'!$A:$A,'ITEM MASTER'!$B:$B,""),"")</f>
        <v>0</v>
      </c>
      <c r="F612" t="s">
        <v>44</v>
      </c>
      <c r="H612">
        <f>IFERROR(_xlfn.XLOOKUP(D612,'ITEM MASTER'!$A:$A,'ITEM MASTER'!$I:$I,"")*IF(F612="CARTON",_xlfn.XLOOKUP(D612,'ITEM MASTER'!$A:$A,'ITEM MASTER'!$H:$H,1),1),"")</f>
        <v>0</v>
      </c>
      <c r="I612">
        <f>IF(OR(C612="PURCHASE",C612="OPENING"),G612*IF(F612="CARTON",_xlfn.XLOOKUP(D612,'ITEM MASTER'!$A:$A,'ITEM MASTER'!$H:$H,1),1),0)</f>
        <v>0</v>
      </c>
      <c r="J612">
        <f>IF(C612="SALE",G612*IF(F612="CARTON",_xlfn.XLOOKUP(D612,'ITEM MASTER'!$A:$A,'ITEM MASTER'!$H:$H,1),1),0)</f>
        <v>0</v>
      </c>
      <c r="K612">
        <f>SUMIFS($I$2:I612,$D$2:D612,D612)-SUMIFS($J$2:J612,$D$2:D612,D612)</f>
        <v>0</v>
      </c>
    </row>
    <row r="613" spans="5:11" x14ac:dyDescent="0.3">
      <c r="E613">
        <f>IFERROR(_xlfn.XLOOKUP(D613,'ITEM MASTER'!$A:$A,'ITEM MASTER'!$B:$B,""),"")</f>
        <v>0</v>
      </c>
      <c r="F613" t="s">
        <v>44</v>
      </c>
      <c r="H613">
        <f>IFERROR(_xlfn.XLOOKUP(D613,'ITEM MASTER'!$A:$A,'ITEM MASTER'!$I:$I,"")*IF(F613="CARTON",_xlfn.XLOOKUP(D613,'ITEM MASTER'!$A:$A,'ITEM MASTER'!$H:$H,1),1),"")</f>
        <v>0</v>
      </c>
      <c r="I613">
        <f>IF(OR(C613="PURCHASE",C613="OPENING"),G613*IF(F613="CARTON",_xlfn.XLOOKUP(D613,'ITEM MASTER'!$A:$A,'ITEM MASTER'!$H:$H,1),1),0)</f>
        <v>0</v>
      </c>
      <c r="J613">
        <f>IF(C613="SALE",G613*IF(F613="CARTON",_xlfn.XLOOKUP(D613,'ITEM MASTER'!$A:$A,'ITEM MASTER'!$H:$H,1),1),0)</f>
        <v>0</v>
      </c>
      <c r="K613">
        <f>SUMIFS($I$2:I613,$D$2:D613,D613)-SUMIFS($J$2:J613,$D$2:D613,D613)</f>
        <v>0</v>
      </c>
    </row>
    <row r="614" spans="5:11" x14ac:dyDescent="0.3">
      <c r="E614">
        <f>IFERROR(_xlfn.XLOOKUP(D614,'ITEM MASTER'!$A:$A,'ITEM MASTER'!$B:$B,""),"")</f>
        <v>0</v>
      </c>
      <c r="F614" t="s">
        <v>44</v>
      </c>
      <c r="H614">
        <f>IFERROR(_xlfn.XLOOKUP(D614,'ITEM MASTER'!$A:$A,'ITEM MASTER'!$I:$I,"")*IF(F614="CARTON",_xlfn.XLOOKUP(D614,'ITEM MASTER'!$A:$A,'ITEM MASTER'!$H:$H,1),1),"")</f>
        <v>0</v>
      </c>
      <c r="I614">
        <f>IF(OR(C614="PURCHASE",C614="OPENING"),G614*IF(F614="CARTON",_xlfn.XLOOKUP(D614,'ITEM MASTER'!$A:$A,'ITEM MASTER'!$H:$H,1),1),0)</f>
        <v>0</v>
      </c>
      <c r="J614">
        <f>IF(C614="SALE",G614*IF(F614="CARTON",_xlfn.XLOOKUP(D614,'ITEM MASTER'!$A:$A,'ITEM MASTER'!$H:$H,1),1),0)</f>
        <v>0</v>
      </c>
      <c r="K614">
        <f>SUMIFS($I$2:I614,$D$2:D614,D614)-SUMIFS($J$2:J614,$D$2:D614,D614)</f>
        <v>0</v>
      </c>
    </row>
    <row r="615" spans="5:11" x14ac:dyDescent="0.3">
      <c r="E615">
        <f>IFERROR(_xlfn.XLOOKUP(D615,'ITEM MASTER'!$A:$A,'ITEM MASTER'!$B:$B,""),"")</f>
        <v>0</v>
      </c>
      <c r="F615" t="s">
        <v>44</v>
      </c>
      <c r="H615">
        <f>IFERROR(_xlfn.XLOOKUP(D615,'ITEM MASTER'!$A:$A,'ITEM MASTER'!$I:$I,"")*IF(F615="CARTON",_xlfn.XLOOKUP(D615,'ITEM MASTER'!$A:$A,'ITEM MASTER'!$H:$H,1),1),"")</f>
        <v>0</v>
      </c>
      <c r="I615">
        <f>IF(OR(C615="PURCHASE",C615="OPENING"),G615*IF(F615="CARTON",_xlfn.XLOOKUP(D615,'ITEM MASTER'!$A:$A,'ITEM MASTER'!$H:$H,1),1),0)</f>
        <v>0</v>
      </c>
      <c r="J615">
        <f>IF(C615="SALE",G615*IF(F615="CARTON",_xlfn.XLOOKUP(D615,'ITEM MASTER'!$A:$A,'ITEM MASTER'!$H:$H,1),1),0)</f>
        <v>0</v>
      </c>
      <c r="K615">
        <f>SUMIFS($I$2:I615,$D$2:D615,D615)-SUMIFS($J$2:J615,$D$2:D615,D615)</f>
        <v>0</v>
      </c>
    </row>
  </sheetData>
  <phoneticPr fontId="3" type="noConversion"/>
  <dataValidations count="3">
    <dataValidation type="list" allowBlank="1" showInputMessage="1" showErrorMessage="1" sqref="C2:C615" xr:uid="{E7C58F01-8ED5-4262-868A-7FA1EF5AF914}">
      <formula1>"PURCHASE,SALE,OPENING,ADJUSTMENT"</formula1>
    </dataValidation>
    <dataValidation type="list" allowBlank="1" showInputMessage="1" showErrorMessage="1" sqref="D2:D615" xr:uid="{E9202E1D-4116-4A79-BC2A-44CD100FDCEF}">
      <formula1>INDIRECT("'ITEM MASTER'!A2:A1000")</formula1>
    </dataValidation>
    <dataValidation type="list" allowBlank="1" showInputMessage="1" showErrorMessage="1" sqref="F2:F615" xr:uid="{70671113-6E7B-4BFD-8165-40C4F56EEAC2}">
      <formula1>"BOTTLE,CARTON,DRUM,CAN"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7C92-665F-4DED-874C-5AA1A91A7CD8}">
  <dimension ref="A1:Q20"/>
  <sheetViews>
    <sheetView topLeftCell="D1" workbookViewId="0">
      <selection activeCell="O29" sqref="O29"/>
    </sheetView>
  </sheetViews>
  <sheetFormatPr defaultRowHeight="14.4" x14ac:dyDescent="0.3"/>
  <cols>
    <col min="1" max="2" width="11.5546875" customWidth="1"/>
    <col min="3" max="3" width="12.44140625" bestFit="1" customWidth="1"/>
    <col min="4" max="4" width="12.88671875" bestFit="1" customWidth="1"/>
    <col min="5" max="5" width="12.109375" bestFit="1" customWidth="1"/>
    <col min="6" max="6" width="17.5546875" bestFit="1" customWidth="1"/>
    <col min="7" max="7" width="11.5546875" bestFit="1" customWidth="1"/>
    <col min="8" max="9" width="11.5546875" customWidth="1"/>
    <col min="10" max="10" width="17.21875" bestFit="1" customWidth="1"/>
    <col min="11" max="11" width="14.6640625" bestFit="1" customWidth="1"/>
    <col min="12" max="12" width="17.6640625" bestFit="1" customWidth="1"/>
    <col min="13" max="13" width="19.6640625" bestFit="1" customWidth="1"/>
    <col min="14" max="14" width="20.88671875" bestFit="1" customWidth="1"/>
    <col min="15" max="15" width="15.44140625" bestFit="1" customWidth="1"/>
    <col min="16" max="16" width="12.6640625" customWidth="1"/>
  </cols>
  <sheetData>
    <row r="1" spans="1:17" x14ac:dyDescent="0.3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/>
    </row>
    <row r="2" spans="1:17" x14ac:dyDescent="0.3">
      <c r="A2" s="1" t="s">
        <v>74</v>
      </c>
      <c r="B2" s="1" t="s">
        <v>32</v>
      </c>
      <c r="C2" s="1" t="s">
        <v>75</v>
      </c>
      <c r="D2" s="1" t="s">
        <v>76</v>
      </c>
      <c r="E2" s="1" t="s">
        <v>0</v>
      </c>
      <c r="F2" s="1" t="s">
        <v>1</v>
      </c>
      <c r="G2" s="1" t="s">
        <v>77</v>
      </c>
      <c r="H2" s="1" t="s">
        <v>35</v>
      </c>
      <c r="I2" s="1" t="s">
        <v>65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78</v>
      </c>
      <c r="O2" s="1" t="s">
        <v>79</v>
      </c>
      <c r="P2" s="1" t="s">
        <v>43</v>
      </c>
    </row>
    <row r="3" spans="1:17" x14ac:dyDescent="0.3">
      <c r="A3" t="str">
        <f>"SAL-"&amp;ROW()-1</f>
        <v>SAL-2</v>
      </c>
      <c r="B3" s="5">
        <v>46301</v>
      </c>
      <c r="E3" t="s">
        <v>12</v>
      </c>
      <c r="F3" t="str">
        <f>IFERROR(_xlfn.XLOOKUP(E3,'ITEM MASTER'!$A:$A,'ITEM MASTER'!$B:$B,""),"")</f>
        <v>HONDA ATLAS</v>
      </c>
      <c r="G3" t="s">
        <v>44</v>
      </c>
      <c r="H3">
        <v>1</v>
      </c>
      <c r="I3">
        <v>5000</v>
      </c>
      <c r="J3">
        <f>IF(OR(H3="",12=""),"",H3*I3)</f>
        <v>5000</v>
      </c>
      <c r="K3">
        <f>IFERROR(_xlfn.XLOOKUP(E3,'ITEM MASTER'!$A:$A,'ITEM MASTER'!$H:$H,""),"")</f>
        <v>12</v>
      </c>
      <c r="L3">
        <f>IF(OR(G3="",H3=""),"",IF(G3="BOTTLE",H3,IF(G3="CARTON",H3*K3,H3)))</f>
        <v>12</v>
      </c>
      <c r="M3" t="s">
        <v>62</v>
      </c>
      <c r="N3">
        <v>5000</v>
      </c>
      <c r="O3">
        <f>IF(J3="","",J3-N3)</f>
        <v>0</v>
      </c>
    </row>
    <row r="4" spans="1:17" x14ac:dyDescent="0.3">
      <c r="A4" t="str">
        <f t="shared" ref="A4:A15" si="0">"SAL-"&amp;ROW()-1</f>
        <v>SAL-3</v>
      </c>
      <c r="B4" s="5">
        <v>46302</v>
      </c>
      <c r="E4" t="s">
        <v>12</v>
      </c>
      <c r="F4" t="str">
        <f>IFERROR(_xlfn.XLOOKUP(E4,'ITEM MASTER'!$A:$A,'ITEM MASTER'!$B:$B,""),"")</f>
        <v>HONDA ATLAS</v>
      </c>
      <c r="G4" t="s">
        <v>23</v>
      </c>
      <c r="H4">
        <v>26</v>
      </c>
      <c r="I4">
        <v>450</v>
      </c>
      <c r="J4">
        <f t="shared" ref="J4:J15" si="1">IF(OR(H4="",12=""),"",H4*I4)</f>
        <v>11700</v>
      </c>
      <c r="K4">
        <f>IFERROR(_xlfn.XLOOKUP(E4,'ITEM MASTER'!$A:$A,'ITEM MASTER'!$H:$H,""),"")</f>
        <v>12</v>
      </c>
      <c r="L4">
        <f t="shared" ref="L4:L15" si="2">IF(OR(G4="",H4=""),"",IF(G4="BOTTLE",H4,IF(G4="CARTON",H4*K4,H4)))</f>
        <v>26</v>
      </c>
      <c r="M4" t="s">
        <v>62</v>
      </c>
      <c r="N4">
        <v>11700</v>
      </c>
      <c r="O4">
        <f t="shared" ref="O4:O15" si="3">IF(J4="","",J4-N4)</f>
        <v>0</v>
      </c>
    </row>
    <row r="5" spans="1:17" x14ac:dyDescent="0.3">
      <c r="A5" t="str">
        <f t="shared" si="0"/>
        <v>SAL-4</v>
      </c>
      <c r="E5" t="s">
        <v>20</v>
      </c>
      <c r="F5" t="str">
        <f>IFERROR(_xlfn.XLOOKUP(E5,'ITEM MASTER'!$A:$A,'ITEM MASTER'!$B:$B,""),"")</f>
        <v>HONDA ATLAS</v>
      </c>
      <c r="G5" t="s">
        <v>44</v>
      </c>
      <c r="H5">
        <v>3</v>
      </c>
      <c r="I5">
        <v>5000</v>
      </c>
      <c r="J5">
        <f t="shared" si="1"/>
        <v>15000</v>
      </c>
      <c r="K5">
        <f>IFERROR(_xlfn.XLOOKUP(E5,'ITEM MASTER'!$A:$A,'ITEM MASTER'!$H:$H,""),"")</f>
        <v>12</v>
      </c>
      <c r="L5">
        <f t="shared" si="2"/>
        <v>36</v>
      </c>
      <c r="M5" t="s">
        <v>45</v>
      </c>
      <c r="N5">
        <v>12000</v>
      </c>
      <c r="O5">
        <f t="shared" si="3"/>
        <v>3000</v>
      </c>
    </row>
    <row r="6" spans="1:17" x14ac:dyDescent="0.3">
      <c r="A6" t="str">
        <f t="shared" si="0"/>
        <v>SAL-5</v>
      </c>
      <c r="E6" t="s">
        <v>29</v>
      </c>
      <c r="F6" t="str">
        <f>IFERROR(_xlfn.XLOOKUP(E6,'ITEM MASTER'!$A:$A,'ITEM MASTER'!$B:$B,""),"")</f>
        <v>DYL LUBE</v>
      </c>
      <c r="G6" t="s">
        <v>23</v>
      </c>
      <c r="H6">
        <v>10</v>
      </c>
      <c r="I6">
        <v>400</v>
      </c>
      <c r="J6">
        <f t="shared" si="1"/>
        <v>4000</v>
      </c>
      <c r="K6">
        <f>IFERROR(_xlfn.XLOOKUP(E6,'ITEM MASTER'!$A:$A,'ITEM MASTER'!$H:$H,""),"")</f>
        <v>12</v>
      </c>
      <c r="L6">
        <f t="shared" si="2"/>
        <v>10</v>
      </c>
      <c r="M6" t="s">
        <v>45</v>
      </c>
      <c r="N6">
        <v>2000</v>
      </c>
      <c r="O6">
        <f t="shared" si="3"/>
        <v>2000</v>
      </c>
    </row>
    <row r="7" spans="1:17" x14ac:dyDescent="0.3">
      <c r="A7" t="str">
        <f t="shared" si="0"/>
        <v>SAL-6</v>
      </c>
      <c r="E7" t="s">
        <v>20</v>
      </c>
      <c r="F7" t="str">
        <f>IFERROR(_xlfn.XLOOKUP(E7,'ITEM MASTER'!$A:$A,'ITEM MASTER'!$B:$B,""),"")</f>
        <v>HONDA ATLAS</v>
      </c>
      <c r="G7" t="s">
        <v>44</v>
      </c>
      <c r="H7">
        <v>3</v>
      </c>
      <c r="I7">
        <v>450</v>
      </c>
      <c r="J7">
        <f t="shared" si="1"/>
        <v>1350</v>
      </c>
      <c r="K7">
        <f>IFERROR(_xlfn.XLOOKUP(E7,'ITEM MASTER'!$A:$A,'ITEM MASTER'!$H:$H,""),"")</f>
        <v>12</v>
      </c>
      <c r="L7">
        <f t="shared" si="2"/>
        <v>36</v>
      </c>
      <c r="M7" t="s">
        <v>45</v>
      </c>
      <c r="N7">
        <v>900</v>
      </c>
      <c r="O7">
        <f t="shared" si="3"/>
        <v>450</v>
      </c>
    </row>
    <row r="8" spans="1:17" x14ac:dyDescent="0.3">
      <c r="A8" t="str">
        <f t="shared" si="0"/>
        <v>SAL-7</v>
      </c>
      <c r="E8" t="s">
        <v>71</v>
      </c>
      <c r="F8" t="str">
        <f>IFERROR(_xlfn.XLOOKUP(E8,'ITEM MASTER'!$A:$A,'ITEM MASTER'!$B:$B,""),"")</f>
        <v/>
      </c>
      <c r="J8" t="str">
        <f t="shared" si="1"/>
        <v/>
      </c>
      <c r="K8" t="str">
        <f>IFERROR(_xlfn.XLOOKUP(E8,'ITEM MASTER'!$A:$A,'ITEM MASTER'!$H:$H,""),"")</f>
        <v/>
      </c>
      <c r="L8" t="str">
        <f t="shared" si="2"/>
        <v/>
      </c>
      <c r="O8" t="str">
        <f t="shared" si="3"/>
        <v/>
      </c>
    </row>
    <row r="9" spans="1:17" x14ac:dyDescent="0.3">
      <c r="A9" t="str">
        <f t="shared" si="0"/>
        <v>SAL-8</v>
      </c>
      <c r="E9" t="s">
        <v>72</v>
      </c>
      <c r="F9" t="str">
        <f>IFERROR(_xlfn.XLOOKUP(E9,'ITEM MASTER'!$A:$A,'ITEM MASTER'!$B:$B,""),"")</f>
        <v/>
      </c>
      <c r="J9" t="str">
        <f t="shared" si="1"/>
        <v/>
      </c>
      <c r="K9" t="str">
        <f>IFERROR(_xlfn.XLOOKUP(E9,'ITEM MASTER'!$A:$A,'ITEM MASTER'!$H:$H,""),"")</f>
        <v/>
      </c>
      <c r="L9" t="str">
        <f t="shared" si="2"/>
        <v/>
      </c>
      <c r="O9" t="str">
        <f t="shared" si="3"/>
        <v/>
      </c>
    </row>
    <row r="10" spans="1:17" x14ac:dyDescent="0.3">
      <c r="A10" t="str">
        <f t="shared" si="0"/>
        <v>SAL-9</v>
      </c>
      <c r="E10" t="s">
        <v>73</v>
      </c>
      <c r="F10" t="str">
        <f>IFERROR(_xlfn.XLOOKUP(E10,'ITEM MASTER'!$A:$A,'ITEM MASTER'!$B:$B,""),"")</f>
        <v/>
      </c>
      <c r="J10" t="str">
        <f t="shared" si="1"/>
        <v/>
      </c>
      <c r="K10" t="str">
        <f>IFERROR(_xlfn.XLOOKUP(E10,'ITEM MASTER'!$A:$A,'ITEM MASTER'!$H:$H,""),"")</f>
        <v/>
      </c>
      <c r="L10" t="str">
        <f t="shared" si="2"/>
        <v/>
      </c>
      <c r="O10" t="str">
        <f t="shared" si="3"/>
        <v/>
      </c>
    </row>
    <row r="11" spans="1:17" x14ac:dyDescent="0.3">
      <c r="A11" t="str">
        <f t="shared" si="0"/>
        <v>SAL-10</v>
      </c>
      <c r="F11">
        <f>IFERROR(_xlfn.XLOOKUP(E11,'ITEM MASTER'!$A:$A,'ITEM MASTER'!$B:$B,""),"")</f>
        <v>0</v>
      </c>
      <c r="J11" t="str">
        <f t="shared" si="1"/>
        <v/>
      </c>
      <c r="K11">
        <f>IFERROR(_xlfn.XLOOKUP(E11,'ITEM MASTER'!$A:$A,'ITEM MASTER'!$H:$H,""),"")</f>
        <v>0</v>
      </c>
      <c r="L11" t="str">
        <f t="shared" si="2"/>
        <v/>
      </c>
      <c r="O11" t="str">
        <f t="shared" si="3"/>
        <v/>
      </c>
    </row>
    <row r="12" spans="1:17" x14ac:dyDescent="0.3">
      <c r="A12" t="str">
        <f t="shared" si="0"/>
        <v>SAL-11</v>
      </c>
      <c r="F12">
        <f>IFERROR(_xlfn.XLOOKUP(E12,'ITEM MASTER'!$A:$A,'ITEM MASTER'!$B:$B,""),"")</f>
        <v>0</v>
      </c>
      <c r="J12" t="str">
        <f t="shared" si="1"/>
        <v/>
      </c>
      <c r="K12">
        <f>IFERROR(_xlfn.XLOOKUP(E12,'ITEM MASTER'!$A:$A,'ITEM MASTER'!$H:$H,""),"")</f>
        <v>0</v>
      </c>
      <c r="L12" t="str">
        <f t="shared" si="2"/>
        <v/>
      </c>
      <c r="O12" t="str">
        <f t="shared" si="3"/>
        <v/>
      </c>
    </row>
    <row r="13" spans="1:17" x14ac:dyDescent="0.3">
      <c r="A13" t="str">
        <f t="shared" si="0"/>
        <v>SAL-12</v>
      </c>
      <c r="F13">
        <f>IFERROR(_xlfn.XLOOKUP(E13,'ITEM MASTER'!$A:$A,'ITEM MASTER'!$B:$B,""),"")</f>
        <v>0</v>
      </c>
      <c r="J13" t="str">
        <f t="shared" si="1"/>
        <v/>
      </c>
      <c r="K13">
        <f>IFERROR(_xlfn.XLOOKUP(E13,'ITEM MASTER'!$A:$A,'ITEM MASTER'!$H:$H,""),"")</f>
        <v>0</v>
      </c>
      <c r="L13" t="str">
        <f t="shared" si="2"/>
        <v/>
      </c>
      <c r="O13" t="str">
        <f t="shared" si="3"/>
        <v/>
      </c>
    </row>
    <row r="14" spans="1:17" x14ac:dyDescent="0.3">
      <c r="A14" t="str">
        <f t="shared" si="0"/>
        <v>SAL-13</v>
      </c>
      <c r="F14">
        <f>IFERROR(_xlfn.XLOOKUP(E14,'ITEM MASTER'!$A:$A,'ITEM MASTER'!$B:$B,""),"")</f>
        <v>0</v>
      </c>
      <c r="J14" t="str">
        <f t="shared" si="1"/>
        <v/>
      </c>
      <c r="K14">
        <f>IFERROR(_xlfn.XLOOKUP(E14,'ITEM MASTER'!$A:$A,'ITEM MASTER'!$H:$H,""),"")</f>
        <v>0</v>
      </c>
      <c r="L14" t="str">
        <f t="shared" si="2"/>
        <v/>
      </c>
      <c r="O14" t="str">
        <f t="shared" si="3"/>
        <v/>
      </c>
    </row>
    <row r="15" spans="1:17" x14ac:dyDescent="0.3">
      <c r="A15" t="str">
        <f t="shared" si="0"/>
        <v>SAL-14</v>
      </c>
      <c r="F15">
        <f>IFERROR(_xlfn.XLOOKUP(E15,'ITEM MASTER'!$A:$A,'ITEM MASTER'!$B:$B,""),"")</f>
        <v>0</v>
      </c>
      <c r="J15" t="str">
        <f t="shared" si="1"/>
        <v/>
      </c>
      <c r="K15">
        <f>IFERROR(_xlfn.XLOOKUP(E15,'ITEM MASTER'!$A:$A,'ITEM MASTER'!$H:$H,""),"")</f>
        <v>0</v>
      </c>
      <c r="L15" t="str">
        <f t="shared" si="2"/>
        <v/>
      </c>
      <c r="O15" t="str">
        <f t="shared" si="3"/>
        <v/>
      </c>
    </row>
    <row r="20" spans="14:14" x14ac:dyDescent="0.3">
      <c r="N20">
        <f>IFERROR(_xlfn.XLOOKUP(E3,'ITEM MASTER'!$A:$A,'ITEM MASTER'!$J:$J,"")*IF(G3="CARTON",_xlfn.XLOOKUP(E3,'ITEM MASTER'!$A:$A,'ITEM MASTER'!$H:$H,1),1),"")</f>
        <v>0</v>
      </c>
    </row>
  </sheetData>
  <phoneticPr fontId="3" type="noConversion"/>
  <dataValidations count="3">
    <dataValidation type="list" allowBlank="1" showInputMessage="1" showErrorMessage="1" sqref="E3:E10" xr:uid="{1554A573-D65A-46C7-958E-C07191FA161C}">
      <formula1>INDIRECT("'ITEM MASTER'!A2:A1000")</formula1>
    </dataValidation>
    <dataValidation type="list" allowBlank="1" showInputMessage="1" showErrorMessage="1" sqref="G3:G11" xr:uid="{470AD68A-E9DC-4CA6-99F2-944DAFDC3B47}">
      <formula1>"CARTON,BOTTLE,DRUM,CAN"</formula1>
    </dataValidation>
    <dataValidation type="list" allowBlank="1" showInputMessage="1" showErrorMessage="1" sqref="M3:M8" xr:uid="{559F8321-8970-420D-A067-063E6B4BDA49}">
      <formula1>"PAID,PARTIAL,CREDIT"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D4EA-6369-4309-AE18-77D19970FA8F}">
  <dimension ref="A1:J16"/>
  <sheetViews>
    <sheetView workbookViewId="0">
      <selection activeCell="E12" sqref="E12"/>
    </sheetView>
  </sheetViews>
  <sheetFormatPr defaultRowHeight="14.4" x14ac:dyDescent="0.3"/>
  <cols>
    <col min="1" max="1" width="15.109375" bestFit="1" customWidth="1"/>
    <col min="2" max="2" width="15.109375" customWidth="1"/>
    <col min="3" max="3" width="20" bestFit="1" customWidth="1"/>
    <col min="4" max="4" width="11" bestFit="1" customWidth="1"/>
    <col min="5" max="5" width="10.33203125" bestFit="1" customWidth="1"/>
    <col min="6" max="6" width="10.77734375" bestFit="1" customWidth="1"/>
    <col min="7" max="7" width="25.5546875" bestFit="1" customWidth="1"/>
    <col min="8" max="8" width="14.33203125" bestFit="1" customWidth="1"/>
    <col min="9" max="9" width="9" bestFit="1" customWidth="1"/>
    <col min="10" max="10" width="11.109375" bestFit="1" customWidth="1"/>
  </cols>
  <sheetData>
    <row r="1" spans="1:10" s="1" customFormat="1" ht="13.8" x14ac:dyDescent="0.25">
      <c r="A1" s="1" t="s">
        <v>96</v>
      </c>
      <c r="B1" s="1" t="s">
        <v>75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97</v>
      </c>
      <c r="H1" s="1" t="s">
        <v>98</v>
      </c>
      <c r="I1" s="1" t="s">
        <v>11</v>
      </c>
      <c r="J1" s="1" t="s">
        <v>43</v>
      </c>
    </row>
    <row r="2" spans="1:10" x14ac:dyDescent="0.3">
      <c r="A2" t="str">
        <f>"CUS-"&amp;ROW()-1</f>
        <v>CUS-1</v>
      </c>
      <c r="B2" t="s">
        <v>110</v>
      </c>
      <c r="C2" t="s">
        <v>99</v>
      </c>
      <c r="D2">
        <v>3045464807</v>
      </c>
      <c r="E2" t="s">
        <v>100</v>
      </c>
      <c r="F2" t="s">
        <v>101</v>
      </c>
      <c r="G2">
        <v>70000</v>
      </c>
      <c r="H2">
        <v>30000</v>
      </c>
      <c r="I2" t="s">
        <v>57</v>
      </c>
    </row>
    <row r="3" spans="1:10" x14ac:dyDescent="0.3">
      <c r="A3" t="str">
        <f t="shared" ref="A3:A16" si="0">"CUS-"&amp;ROW()-1</f>
        <v>CUS-2</v>
      </c>
      <c r="B3" t="s">
        <v>108</v>
      </c>
      <c r="C3" t="s">
        <v>114</v>
      </c>
      <c r="E3" t="s">
        <v>115</v>
      </c>
    </row>
    <row r="4" spans="1:10" x14ac:dyDescent="0.3">
      <c r="A4" t="str">
        <f t="shared" si="0"/>
        <v>CUS-3</v>
      </c>
      <c r="B4" t="s">
        <v>109</v>
      </c>
      <c r="C4" t="s">
        <v>113</v>
      </c>
      <c r="E4" t="s">
        <v>100</v>
      </c>
    </row>
    <row r="5" spans="1:10" x14ac:dyDescent="0.3">
      <c r="A5" t="str">
        <f t="shared" si="0"/>
        <v>CUS-4</v>
      </c>
      <c r="B5" t="s">
        <v>111</v>
      </c>
      <c r="C5" t="s">
        <v>112</v>
      </c>
      <c r="E5" t="s">
        <v>116</v>
      </c>
    </row>
    <row r="6" spans="1:10" x14ac:dyDescent="0.3">
      <c r="A6" t="str">
        <f t="shared" si="0"/>
        <v>CUS-5</v>
      </c>
    </row>
    <row r="7" spans="1:10" x14ac:dyDescent="0.3">
      <c r="A7" t="str">
        <f t="shared" si="0"/>
        <v>CUS-6</v>
      </c>
    </row>
    <row r="8" spans="1:10" x14ac:dyDescent="0.3">
      <c r="A8" t="str">
        <f t="shared" si="0"/>
        <v>CUS-7</v>
      </c>
    </row>
    <row r="9" spans="1:10" x14ac:dyDescent="0.3">
      <c r="A9" t="str">
        <f t="shared" si="0"/>
        <v>CUS-8</v>
      </c>
    </row>
    <row r="10" spans="1:10" x14ac:dyDescent="0.3">
      <c r="A10" t="str">
        <f t="shared" si="0"/>
        <v>CUS-9</v>
      </c>
    </row>
    <row r="11" spans="1:10" x14ac:dyDescent="0.3">
      <c r="A11" t="str">
        <f t="shared" si="0"/>
        <v>CUS-10</v>
      </c>
    </row>
    <row r="12" spans="1:10" x14ac:dyDescent="0.3">
      <c r="A12" t="str">
        <f t="shared" si="0"/>
        <v>CUS-11</v>
      </c>
    </row>
    <row r="13" spans="1:10" x14ac:dyDescent="0.3">
      <c r="A13" t="str">
        <f t="shared" si="0"/>
        <v>CUS-12</v>
      </c>
    </row>
    <row r="14" spans="1:10" x14ac:dyDescent="0.3">
      <c r="A14" t="str">
        <f t="shared" si="0"/>
        <v>CUS-13</v>
      </c>
    </row>
    <row r="15" spans="1:10" x14ac:dyDescent="0.3">
      <c r="A15" t="str">
        <f t="shared" si="0"/>
        <v>CUS-14</v>
      </c>
    </row>
    <row r="16" spans="1:10" x14ac:dyDescent="0.3">
      <c r="A16" t="str">
        <f t="shared" si="0"/>
        <v>CUS-15</v>
      </c>
    </row>
  </sheetData>
  <dataValidations count="1">
    <dataValidation type="list" allowBlank="1" showInputMessage="1" showErrorMessage="1" sqref="I2" xr:uid="{D0FBFC3C-E641-4EC7-85F5-B1AC74EA1123}">
      <formula1>"ACTIVE,INACTIVE"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D860-8730-4DCA-B0A1-F9A9F0C82A8B}">
  <dimension ref="A1:H17"/>
  <sheetViews>
    <sheetView tabSelected="1" workbookViewId="0">
      <pane ySplit="1" topLeftCell="A2" activePane="bottomLeft" state="frozen"/>
      <selection pane="bottomLeft" activeCell="B2" sqref="B2:B3"/>
    </sheetView>
  </sheetViews>
  <sheetFormatPr defaultRowHeight="14.4" x14ac:dyDescent="0.3"/>
  <cols>
    <col min="1" max="1" width="17" style="6" bestFit="1" customWidth="1"/>
    <col min="2" max="2" width="13.33203125" bestFit="1" customWidth="1"/>
    <col min="3" max="3" width="12.44140625" bestFit="1" customWidth="1"/>
    <col min="4" max="4" width="20.33203125" bestFit="1" customWidth="1"/>
    <col min="5" max="5" width="13.44140625" bestFit="1" customWidth="1"/>
    <col min="6" max="6" width="10.109375" style="9" bestFit="1" customWidth="1"/>
    <col min="7" max="7" width="11.109375" bestFit="1" customWidth="1"/>
  </cols>
  <sheetData>
    <row r="1" spans="1:8" x14ac:dyDescent="0.3">
      <c r="A1" s="7" t="s">
        <v>102</v>
      </c>
      <c r="B1" s="1" t="s">
        <v>103</v>
      </c>
      <c r="C1" s="1" t="s">
        <v>75</v>
      </c>
      <c r="D1" s="1" t="s">
        <v>104</v>
      </c>
      <c r="E1" s="1" t="s">
        <v>105</v>
      </c>
      <c r="F1" s="8" t="s">
        <v>106</v>
      </c>
      <c r="G1" s="1" t="s">
        <v>43</v>
      </c>
      <c r="H1" s="1"/>
    </row>
    <row r="2" spans="1:8" x14ac:dyDescent="0.3">
      <c r="A2" s="6">
        <v>46301</v>
      </c>
      <c r="B2" t="s">
        <v>107</v>
      </c>
      <c r="C2" t="s">
        <v>110</v>
      </c>
      <c r="D2" t="s">
        <v>130</v>
      </c>
      <c r="E2" t="s">
        <v>135</v>
      </c>
      <c r="F2" s="9">
        <v>10000</v>
      </c>
    </row>
    <row r="3" spans="1:8" x14ac:dyDescent="0.3">
      <c r="A3" s="6">
        <v>46302</v>
      </c>
      <c r="B3" t="s">
        <v>139</v>
      </c>
      <c r="C3" t="s">
        <v>109</v>
      </c>
      <c r="D3" t="s">
        <v>138</v>
      </c>
      <c r="E3" t="s">
        <v>135</v>
      </c>
      <c r="F3" s="9">
        <v>39000</v>
      </c>
    </row>
    <row r="4" spans="1:8" x14ac:dyDescent="0.3">
      <c r="B4" t="s">
        <v>140</v>
      </c>
    </row>
    <row r="5" spans="1:8" x14ac:dyDescent="0.3">
      <c r="B5" t="s">
        <v>141</v>
      </c>
    </row>
    <row r="6" spans="1:8" x14ac:dyDescent="0.3">
      <c r="B6" t="s">
        <v>142</v>
      </c>
    </row>
    <row r="7" spans="1:8" x14ac:dyDescent="0.3">
      <c r="B7" t="s">
        <v>143</v>
      </c>
    </row>
    <row r="8" spans="1:8" x14ac:dyDescent="0.3">
      <c r="B8" t="s">
        <v>144</v>
      </c>
    </row>
    <row r="9" spans="1:8" x14ac:dyDescent="0.3">
      <c r="B9" t="s">
        <v>145</v>
      </c>
    </row>
    <row r="10" spans="1:8" x14ac:dyDescent="0.3">
      <c r="B10" t="s">
        <v>146</v>
      </c>
    </row>
    <row r="11" spans="1:8" x14ac:dyDescent="0.3">
      <c r="B11" t="s">
        <v>147</v>
      </c>
    </row>
    <row r="12" spans="1:8" x14ac:dyDescent="0.3">
      <c r="B12" t="s">
        <v>148</v>
      </c>
    </row>
    <row r="13" spans="1:8" x14ac:dyDescent="0.3">
      <c r="B13" t="s">
        <v>149</v>
      </c>
    </row>
    <row r="14" spans="1:8" x14ac:dyDescent="0.3">
      <c r="B14" t="s">
        <v>150</v>
      </c>
    </row>
    <row r="15" spans="1:8" x14ac:dyDescent="0.3">
      <c r="B15" t="s">
        <v>151</v>
      </c>
    </row>
    <row r="16" spans="1:8" x14ac:dyDescent="0.3">
      <c r="B16" t="s">
        <v>152</v>
      </c>
    </row>
    <row r="17" spans="2:2" x14ac:dyDescent="0.3">
      <c r="B17" t="s">
        <v>153</v>
      </c>
    </row>
  </sheetData>
  <autoFilter ref="A1:G1" xr:uid="{F146D860-8730-4DCA-B0A1-F9A9F0C82A8B}"/>
  <phoneticPr fontId="3" type="noConversion"/>
  <dataValidations count="1">
    <dataValidation type="list" allowBlank="1" showInputMessage="1" showErrorMessage="1" sqref="D2:D18" xr:uid="{E7AECC6B-6B8C-4941-95EA-FE6E0718DA9F}">
      <formula1>"CASH,BANK TRANSFER,EASYPAISA,JAZZCASH,OTHER"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0AB61B-6B28-42AE-86C3-35F47472835D}">
          <x14:formula1>
            <xm:f>CUSTOMERS!$B$2:$B$1000</xm:f>
          </x14:formula1>
          <xm:sqref>C2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569A-C282-411E-9568-9FDD7D6A75E2}">
  <dimension ref="A1:L21"/>
  <sheetViews>
    <sheetView workbookViewId="0">
      <selection activeCell="G6" sqref="G6"/>
    </sheetView>
  </sheetViews>
  <sheetFormatPr defaultRowHeight="14.4" x14ac:dyDescent="0.3"/>
  <cols>
    <col min="1" max="1" width="16.5546875" style="6" bestFit="1" customWidth="1"/>
    <col min="2" max="2" width="13.109375" bestFit="1" customWidth="1"/>
    <col min="3" max="3" width="22.77734375" bestFit="1" customWidth="1"/>
    <col min="4" max="4" width="14.77734375" bestFit="1" customWidth="1"/>
    <col min="5" max="5" width="20.33203125" bestFit="1" customWidth="1"/>
    <col min="6" max="6" width="9.77734375" style="11" bestFit="1" customWidth="1"/>
    <col min="7" max="7" width="9.109375" bestFit="1" customWidth="1"/>
    <col min="8" max="8" width="13.44140625" bestFit="1" customWidth="1"/>
    <col min="9" max="9" width="8.77734375" bestFit="1" customWidth="1"/>
    <col min="11" max="11" width="20.33203125" bestFit="1" customWidth="1"/>
    <col min="12" max="12" width="19.21875" bestFit="1" customWidth="1"/>
  </cols>
  <sheetData>
    <row r="1" spans="1:12" s="1" customFormat="1" ht="13.8" x14ac:dyDescent="0.25">
      <c r="A1" s="7" t="s">
        <v>117</v>
      </c>
      <c r="B1" s="1" t="s">
        <v>118</v>
      </c>
      <c r="C1" s="1" t="s">
        <v>119</v>
      </c>
      <c r="D1" s="1" t="s">
        <v>120</v>
      </c>
      <c r="E1" s="1" t="s">
        <v>104</v>
      </c>
      <c r="F1" s="10" t="s">
        <v>106</v>
      </c>
      <c r="G1" s="1" t="s">
        <v>121</v>
      </c>
      <c r="H1" s="1" t="s">
        <v>105</v>
      </c>
      <c r="I1" s="1" t="s">
        <v>43</v>
      </c>
      <c r="K1" s="1" t="s">
        <v>104</v>
      </c>
      <c r="L1" s="1" t="s">
        <v>180</v>
      </c>
    </row>
    <row r="2" spans="1:12" x14ac:dyDescent="0.3">
      <c r="A2" s="6">
        <v>46301</v>
      </c>
      <c r="B2" t="s">
        <v>122</v>
      </c>
      <c r="C2" t="s">
        <v>123</v>
      </c>
      <c r="E2" t="s">
        <v>130</v>
      </c>
      <c r="F2" s="11">
        <v>500</v>
      </c>
      <c r="K2" t="s">
        <v>130</v>
      </c>
      <c r="L2">
        <f>SUMIF($E$2:$E$500,K2,$F$2:$F$500)</f>
        <v>1000</v>
      </c>
    </row>
    <row r="3" spans="1:12" x14ac:dyDescent="0.3">
      <c r="A3" s="6">
        <v>46302</v>
      </c>
      <c r="B3" t="s">
        <v>159</v>
      </c>
      <c r="C3" t="s">
        <v>178</v>
      </c>
      <c r="D3" t="s">
        <v>179</v>
      </c>
      <c r="E3" t="s">
        <v>130</v>
      </c>
      <c r="F3" s="11">
        <v>500</v>
      </c>
      <c r="G3" t="s">
        <v>135</v>
      </c>
      <c r="H3" t="s">
        <v>135</v>
      </c>
      <c r="I3" t="s">
        <v>135</v>
      </c>
      <c r="K3" t="s">
        <v>134</v>
      </c>
      <c r="L3">
        <f t="shared" ref="L3:L6" si="0">SUMIF($E$2:$E$500,K3,$F$2:$F$500)</f>
        <v>1000</v>
      </c>
    </row>
    <row r="4" spans="1:12" x14ac:dyDescent="0.3">
      <c r="B4" t="s">
        <v>160</v>
      </c>
      <c r="C4" t="s">
        <v>181</v>
      </c>
      <c r="D4" t="s">
        <v>182</v>
      </c>
      <c r="E4" t="s">
        <v>134</v>
      </c>
      <c r="F4" s="11">
        <v>1000</v>
      </c>
      <c r="K4" t="s">
        <v>138</v>
      </c>
      <c r="L4">
        <f t="shared" si="0"/>
        <v>0</v>
      </c>
    </row>
    <row r="5" spans="1:12" x14ac:dyDescent="0.3">
      <c r="B5" t="s">
        <v>161</v>
      </c>
      <c r="C5" t="s">
        <v>183</v>
      </c>
      <c r="D5" t="s">
        <v>184</v>
      </c>
      <c r="E5" t="s">
        <v>156</v>
      </c>
      <c r="F5" s="11">
        <v>35000</v>
      </c>
      <c r="K5" t="s">
        <v>155</v>
      </c>
      <c r="L5">
        <f t="shared" si="0"/>
        <v>0</v>
      </c>
    </row>
    <row r="6" spans="1:12" x14ac:dyDescent="0.3">
      <c r="B6" t="s">
        <v>162</v>
      </c>
      <c r="K6" t="s">
        <v>156</v>
      </c>
      <c r="L6">
        <f t="shared" si="0"/>
        <v>35000</v>
      </c>
    </row>
    <row r="7" spans="1:12" x14ac:dyDescent="0.3">
      <c r="B7" t="s">
        <v>163</v>
      </c>
    </row>
    <row r="8" spans="1:12" x14ac:dyDescent="0.3">
      <c r="B8" t="s">
        <v>164</v>
      </c>
    </row>
    <row r="9" spans="1:12" x14ac:dyDescent="0.3">
      <c r="B9" t="s">
        <v>165</v>
      </c>
    </row>
    <row r="10" spans="1:12" x14ac:dyDescent="0.3">
      <c r="B10" t="s">
        <v>166</v>
      </c>
    </row>
    <row r="11" spans="1:12" x14ac:dyDescent="0.3">
      <c r="B11" t="s">
        <v>167</v>
      </c>
    </row>
    <row r="12" spans="1:12" x14ac:dyDescent="0.3">
      <c r="B12" t="s">
        <v>168</v>
      </c>
    </row>
    <row r="13" spans="1:12" x14ac:dyDescent="0.3">
      <c r="B13" t="s">
        <v>169</v>
      </c>
    </row>
    <row r="14" spans="1:12" x14ac:dyDescent="0.3">
      <c r="B14" t="s">
        <v>170</v>
      </c>
    </row>
    <row r="15" spans="1:12" x14ac:dyDescent="0.3">
      <c r="B15" t="s">
        <v>171</v>
      </c>
    </row>
    <row r="16" spans="1:12" x14ac:dyDescent="0.3">
      <c r="B16" t="s">
        <v>172</v>
      </c>
    </row>
    <row r="17" spans="2:2" x14ac:dyDescent="0.3">
      <c r="B17" t="s">
        <v>173</v>
      </c>
    </row>
    <row r="18" spans="2:2" x14ac:dyDescent="0.3">
      <c r="B18" t="s">
        <v>174</v>
      </c>
    </row>
    <row r="19" spans="2:2" x14ac:dyDescent="0.3">
      <c r="B19" t="s">
        <v>175</v>
      </c>
    </row>
    <row r="20" spans="2:2" x14ac:dyDescent="0.3">
      <c r="B20" t="s">
        <v>176</v>
      </c>
    </row>
    <row r="21" spans="2:2" x14ac:dyDescent="0.3">
      <c r="B21" t="s">
        <v>177</v>
      </c>
    </row>
  </sheetData>
  <phoneticPr fontId="3" type="noConversion"/>
  <dataValidations count="2">
    <dataValidation type="list" allowBlank="1" showInputMessage="1" showErrorMessage="1" sqref="C2:C30" xr:uid="{6D64880D-F9D8-42E9-937F-C9EABF76B7F3}">
      <formula1>"FUEL,VAHICLE MAINTENANCE,SALARY,WAGES,RENT,ELECTRICITY,INTERNET,TELEPHONE,OFFICE EXPENSE,DELIVERY EXPENSE,MARKETING,PACKAGING,PRINTING,BANK CHARGES,REPAIR &amp;MAINTENANCE,MISCELLANOUS"</formula1>
    </dataValidation>
    <dataValidation type="list" allowBlank="1" showInputMessage="1" showErrorMessage="1" sqref="E2" xr:uid="{E4FA2128-B9C1-4B1D-A0AA-21D63E3F39B3}">
      <formula1>"CASH,BANK TRANSFER,EASYPAISA,JAZZCASH,CHECQUE,OTHER"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5942-1FF4-4982-B249-A197AF7BA8AA}">
  <dimension ref="A1:G2"/>
  <sheetViews>
    <sheetView workbookViewId="0">
      <selection activeCell="C2" sqref="C2"/>
    </sheetView>
  </sheetViews>
  <sheetFormatPr defaultRowHeight="14.4" x14ac:dyDescent="0.3"/>
  <cols>
    <col min="1" max="1" width="17" style="6" bestFit="1" customWidth="1"/>
    <col min="2" max="2" width="13.5546875" bestFit="1" customWidth="1"/>
    <col min="3" max="3" width="11" bestFit="1" customWidth="1"/>
    <col min="4" max="4" width="20.33203125" bestFit="1" customWidth="1"/>
    <col min="5" max="5" width="13.44140625" bestFit="1" customWidth="1"/>
    <col min="6" max="6" width="9.77734375" style="11" bestFit="1" customWidth="1"/>
    <col min="7" max="7" width="11.109375" bestFit="1" customWidth="1"/>
  </cols>
  <sheetData>
    <row r="1" spans="1:7" s="1" customFormat="1" ht="13.8" x14ac:dyDescent="0.25">
      <c r="A1" s="7" t="s">
        <v>102</v>
      </c>
      <c r="B1" s="1" t="s">
        <v>124</v>
      </c>
      <c r="C1" s="1" t="s">
        <v>10</v>
      </c>
      <c r="D1" s="1" t="s">
        <v>104</v>
      </c>
      <c r="E1" s="1" t="s">
        <v>105</v>
      </c>
      <c r="F1" s="10" t="s">
        <v>106</v>
      </c>
      <c r="G1" s="1" t="s">
        <v>43</v>
      </c>
    </row>
    <row r="2" spans="1:7" x14ac:dyDescent="0.3">
      <c r="B2" t="s">
        <v>125</v>
      </c>
    </row>
  </sheetData>
  <dataValidations count="1">
    <dataValidation type="list" allowBlank="1" showInputMessage="1" showErrorMessage="1" sqref="D2" xr:uid="{BBD4FBB6-0AE6-4D44-944F-82DE7D77CF42}">
      <formula1>"CASH,BANK TRANSFER, EASYPAISA,JAZZCASH,CHECQUE,OTHER"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F3E287-3D0A-4757-A67A-EFD00A0DEB73}">
          <x14:formula1>
            <xm:f>SUPPLIER!$B$2:$B$1000</xm:f>
          </x14:formula1>
          <xm:sqref>C2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7720-4583-4F9F-AB95-F92F639D4215}">
  <dimension ref="A1:N23"/>
  <sheetViews>
    <sheetView workbookViewId="0">
      <selection activeCell="H26" sqref="H26"/>
    </sheetView>
  </sheetViews>
  <sheetFormatPr defaultRowHeight="14.4" x14ac:dyDescent="0.3"/>
  <cols>
    <col min="1" max="1" width="10.33203125" bestFit="1" customWidth="1"/>
    <col min="2" max="2" width="18.33203125" bestFit="1" customWidth="1"/>
    <col min="3" max="3" width="11" bestFit="1" customWidth="1"/>
    <col min="4" max="4" width="21.77734375" bestFit="1" customWidth="1"/>
    <col min="5" max="5" width="22.33203125" bestFit="1" customWidth="1"/>
    <col min="6" max="6" width="13.44140625" bestFit="1" customWidth="1"/>
    <col min="7" max="7" width="11" bestFit="1" customWidth="1"/>
    <col min="8" max="8" width="13.33203125" bestFit="1" customWidth="1"/>
    <col min="9" max="9" width="10.77734375" bestFit="1" customWidth="1"/>
    <col min="10" max="10" width="11.109375" bestFit="1" customWidth="1"/>
    <col min="11" max="11" width="11.88671875" bestFit="1" customWidth="1"/>
    <col min="13" max="13" width="13.88671875" bestFit="1" customWidth="1"/>
    <col min="14" max="14" width="21.44140625" bestFit="1" customWidth="1"/>
  </cols>
  <sheetData>
    <row r="1" spans="1:14" s="1" customFormat="1" ht="13.8" x14ac:dyDescent="0.25">
      <c r="A1" s="1" t="s">
        <v>32</v>
      </c>
      <c r="B1" s="1" t="s">
        <v>126</v>
      </c>
      <c r="C1" s="1" t="s">
        <v>127</v>
      </c>
      <c r="D1" s="1" t="s">
        <v>64</v>
      </c>
      <c r="E1" s="1" t="s">
        <v>120</v>
      </c>
      <c r="F1" s="1" t="s">
        <v>105</v>
      </c>
      <c r="G1" s="1" t="s">
        <v>128</v>
      </c>
      <c r="H1" s="1" t="s">
        <v>129</v>
      </c>
      <c r="I1" s="1" t="s">
        <v>68</v>
      </c>
      <c r="J1" s="1" t="s">
        <v>43</v>
      </c>
      <c r="K1" s="1" t="s">
        <v>157</v>
      </c>
      <c r="M1" s="1" t="s">
        <v>127</v>
      </c>
      <c r="N1" s="1" t="s">
        <v>154</v>
      </c>
    </row>
    <row r="2" spans="1:14" x14ac:dyDescent="0.3">
      <c r="A2" s="6">
        <v>46301</v>
      </c>
      <c r="B2" t="str">
        <f>"CB-"&amp;TEXT(ROW()-1,"0000")</f>
        <v>CB-0001</v>
      </c>
      <c r="C2" t="s">
        <v>130</v>
      </c>
      <c r="D2" t="s">
        <v>131</v>
      </c>
      <c r="E2" t="s">
        <v>132</v>
      </c>
      <c r="F2" t="s">
        <v>133</v>
      </c>
      <c r="G2">
        <v>500</v>
      </c>
      <c r="I2">
        <f>SUMIFS($G$2:G2,$C$2:C2,C2)-SUMIFS($H$2:H2,$C$2:C2,C2)</f>
        <v>500</v>
      </c>
      <c r="M2" t="s">
        <v>130</v>
      </c>
      <c r="N2">
        <f>SUMIF($C$2:$C$500,M2,$G$2:$G$500)-SUMIF($C$2:$C$500,M2,$H$2:$H$500)+SUMIF($K$2:$K$500,M2,$H$2:$H$500)</f>
        <v>80000</v>
      </c>
    </row>
    <row r="3" spans="1:14" x14ac:dyDescent="0.3">
      <c r="B3" t="str">
        <f t="shared" ref="B3:B23" si="0">"CB-"&amp;TEXT(ROW()-1,"0000")</f>
        <v>CB-0002</v>
      </c>
      <c r="C3" t="s">
        <v>130</v>
      </c>
      <c r="D3" t="s">
        <v>131</v>
      </c>
      <c r="E3" t="s">
        <v>132</v>
      </c>
      <c r="F3" t="s">
        <v>133</v>
      </c>
      <c r="G3">
        <v>90000</v>
      </c>
      <c r="I3">
        <f>SUMIFS($G$2:G3,$C$2:C3,C3)-SUMIFS($H$2:H3,$C$2:C3,C3)</f>
        <v>90500</v>
      </c>
      <c r="M3" t="s">
        <v>134</v>
      </c>
      <c r="N3">
        <f t="shared" ref="N3:N6" si="1">SUMIF($C$2:$C$500,M3,$G$2:$G$500)-SUMIF($C$2:$C$500,M3,$H$2:$H$500)+SUMIF($K$2:$K$500,M3,$H$2:$H$500)</f>
        <v>47500</v>
      </c>
    </row>
    <row r="4" spans="1:14" x14ac:dyDescent="0.3">
      <c r="A4" s="6">
        <v>46302</v>
      </c>
      <c r="B4" t="str">
        <f>"CB-"&amp;TEXT(ROW()-1,"0000")</f>
        <v>CB-0003</v>
      </c>
      <c r="C4" t="s">
        <v>130</v>
      </c>
      <c r="D4" t="s">
        <v>136</v>
      </c>
      <c r="E4" t="s">
        <v>137</v>
      </c>
      <c r="F4" t="s">
        <v>107</v>
      </c>
      <c r="G4">
        <v>7000</v>
      </c>
      <c r="I4">
        <f>SUMIFS($G$2:G4,$C$2:C4,C4)-SUMIFS($H$2:H4,$C$2:C4,C4)</f>
        <v>97500</v>
      </c>
      <c r="M4" t="s">
        <v>138</v>
      </c>
      <c r="N4">
        <f t="shared" si="1"/>
        <v>10000</v>
      </c>
    </row>
    <row r="5" spans="1:14" x14ac:dyDescent="0.3">
      <c r="B5" t="str">
        <f t="shared" si="0"/>
        <v>CB-0004</v>
      </c>
      <c r="C5" t="s">
        <v>138</v>
      </c>
      <c r="D5" t="s">
        <v>136</v>
      </c>
      <c r="E5" t="s">
        <v>109</v>
      </c>
      <c r="F5" t="s">
        <v>139</v>
      </c>
      <c r="G5">
        <v>40000</v>
      </c>
      <c r="I5">
        <f>SUMIFS($G$2:G5,$C$2:C5,C5)-SUMIFS($H$2:H5,$C$2:C5,C5)</f>
        <v>40000</v>
      </c>
      <c r="M5" t="s">
        <v>155</v>
      </c>
      <c r="N5">
        <f t="shared" si="1"/>
        <v>13000</v>
      </c>
    </row>
    <row r="6" spans="1:14" x14ac:dyDescent="0.3">
      <c r="B6" t="str">
        <f t="shared" si="0"/>
        <v>CB-0005</v>
      </c>
      <c r="C6" t="s">
        <v>155</v>
      </c>
      <c r="D6" t="s">
        <v>136</v>
      </c>
      <c r="E6" t="s">
        <v>137</v>
      </c>
      <c r="F6" t="s">
        <v>140</v>
      </c>
      <c r="G6">
        <v>13000</v>
      </c>
      <c r="I6">
        <f>SUMIFS($G$2:G6,$C$2:C6,C6)-SUMIFS($H$2:H6,$C$2:C6,C6)</f>
        <v>13000</v>
      </c>
      <c r="M6" t="s">
        <v>156</v>
      </c>
      <c r="N6">
        <f t="shared" si="1"/>
        <v>0</v>
      </c>
    </row>
    <row r="7" spans="1:14" x14ac:dyDescent="0.3">
      <c r="B7" t="str">
        <f t="shared" si="0"/>
        <v>CB-0006</v>
      </c>
      <c r="C7" t="s">
        <v>130</v>
      </c>
      <c r="D7" t="s">
        <v>157</v>
      </c>
      <c r="E7" t="s">
        <v>158</v>
      </c>
      <c r="H7">
        <v>10000</v>
      </c>
      <c r="I7">
        <f>SUMIFS($G$2:G7,$C$2:C7,C7)-SUMIFS($H$2:H7,$C$2:C7,C7)</f>
        <v>87500</v>
      </c>
      <c r="K7" t="s">
        <v>134</v>
      </c>
    </row>
    <row r="8" spans="1:14" x14ac:dyDescent="0.3">
      <c r="B8" t="str">
        <f t="shared" si="0"/>
        <v>CB-0007</v>
      </c>
      <c r="C8" t="s">
        <v>138</v>
      </c>
      <c r="D8" t="s">
        <v>157</v>
      </c>
      <c r="E8" t="s">
        <v>158</v>
      </c>
      <c r="H8">
        <v>30000</v>
      </c>
      <c r="I8">
        <f>SUMIFS($G$2:G8,$C$2:C8,C8)-SUMIFS($H$2:H8,$C$2:C8,C8)</f>
        <v>10000</v>
      </c>
      <c r="K8" t="s">
        <v>134</v>
      </c>
      <c r="M8" s="12" t="s">
        <v>37</v>
      </c>
      <c r="N8" s="13">
        <f>SUM(N2:N5)</f>
        <v>150500</v>
      </c>
    </row>
    <row r="9" spans="1:14" x14ac:dyDescent="0.3">
      <c r="B9" t="str">
        <f t="shared" si="0"/>
        <v>CB-0008</v>
      </c>
      <c r="C9" t="s">
        <v>130</v>
      </c>
      <c r="D9" t="s">
        <v>157</v>
      </c>
      <c r="E9" t="s">
        <v>158</v>
      </c>
      <c r="H9">
        <v>7500</v>
      </c>
      <c r="I9">
        <f>SUMIFS($G$2:G9,$C$2:C9,C9)-SUMIFS($H$2:H9,$C$2:C9,C9)</f>
        <v>80000</v>
      </c>
      <c r="K9" t="s">
        <v>134</v>
      </c>
    </row>
    <row r="10" spans="1:14" x14ac:dyDescent="0.3">
      <c r="B10" t="str">
        <f t="shared" si="0"/>
        <v>CB-0009</v>
      </c>
      <c r="I10">
        <f>SUMIFS($G$2:G10,$C$2:C10,C10)-SUMIFS($H$2:H10,$C$2:C10,C10)</f>
        <v>0</v>
      </c>
    </row>
    <row r="11" spans="1:14" x14ac:dyDescent="0.3">
      <c r="B11" t="str">
        <f t="shared" si="0"/>
        <v>CB-0010</v>
      </c>
      <c r="I11">
        <f>SUMIFS($G$2:G11,$C$2:C11,C11)-SUMIFS($H$2:H11,$C$2:C11,C11)</f>
        <v>0</v>
      </c>
    </row>
    <row r="12" spans="1:14" x14ac:dyDescent="0.3">
      <c r="B12" t="str">
        <f t="shared" si="0"/>
        <v>CB-0011</v>
      </c>
      <c r="I12">
        <f>SUMIFS($G$2:G12,$C$2:C12,C12)-SUMIFS($H$2:H12,$C$2:C12,C12)</f>
        <v>0</v>
      </c>
    </row>
    <row r="13" spans="1:14" x14ac:dyDescent="0.3">
      <c r="B13" t="str">
        <f t="shared" si="0"/>
        <v>CB-0012</v>
      </c>
      <c r="I13">
        <f>SUMIFS($G$2:G13,$C$2:C13,C13)-SUMIFS($H$2:H13,$C$2:C13,C13)</f>
        <v>0</v>
      </c>
    </row>
    <row r="14" spans="1:14" x14ac:dyDescent="0.3">
      <c r="B14" t="str">
        <f t="shared" si="0"/>
        <v>CB-0013</v>
      </c>
      <c r="I14">
        <f>SUMIFS($G$2:G14,$C$2:C14,C14)-SUMIFS($H$2:H14,$C$2:C14,C14)</f>
        <v>0</v>
      </c>
    </row>
    <row r="15" spans="1:14" x14ac:dyDescent="0.3">
      <c r="B15" t="str">
        <f t="shared" si="0"/>
        <v>CB-0014</v>
      </c>
      <c r="I15">
        <f>SUMIFS($G$2:G15,$C$2:C15,C15)-SUMIFS($H$2:H15,$C$2:C15,C15)</f>
        <v>0</v>
      </c>
    </row>
    <row r="16" spans="1:14" x14ac:dyDescent="0.3">
      <c r="B16" t="str">
        <f t="shared" si="0"/>
        <v>CB-0015</v>
      </c>
      <c r="I16">
        <f>SUMIFS($G$2:G16,$C$2:C16,C16)-SUMIFS($H$2:H16,$C$2:C16,C16)</f>
        <v>0</v>
      </c>
    </row>
    <row r="17" spans="2:9" x14ac:dyDescent="0.3">
      <c r="B17" t="str">
        <f t="shared" si="0"/>
        <v>CB-0016</v>
      </c>
      <c r="I17">
        <f>SUMIFS($G$2:G17,$C$2:C17,C17)-SUMIFS($H$2:H17,$C$2:C17,C17)</f>
        <v>0</v>
      </c>
    </row>
    <row r="18" spans="2:9" x14ac:dyDescent="0.3">
      <c r="B18" t="str">
        <f t="shared" si="0"/>
        <v>CB-0017</v>
      </c>
      <c r="I18">
        <f>SUMIFS($G$2:G18,$C$2:C18,C18)-SUMIFS($H$2:H18,$C$2:C18,C18)</f>
        <v>0</v>
      </c>
    </row>
    <row r="19" spans="2:9" x14ac:dyDescent="0.3">
      <c r="B19" t="str">
        <f t="shared" si="0"/>
        <v>CB-0018</v>
      </c>
      <c r="I19">
        <f>SUMIFS($G$2:G19,$C$2:C19,C19)-SUMIFS($H$2:H19,$C$2:C19,C19)</f>
        <v>0</v>
      </c>
    </row>
    <row r="20" spans="2:9" x14ac:dyDescent="0.3">
      <c r="B20" t="str">
        <f t="shared" si="0"/>
        <v>CB-0019</v>
      </c>
      <c r="I20">
        <f>SUMIFS($G$2:G20,$C$2:C20,C20)-SUMIFS($H$2:H20,$C$2:C20,C20)</f>
        <v>0</v>
      </c>
    </row>
    <row r="21" spans="2:9" x14ac:dyDescent="0.3">
      <c r="B21" t="str">
        <f t="shared" si="0"/>
        <v>CB-0020</v>
      </c>
      <c r="I21">
        <f>SUMIFS($G$2:G21,$C$2:C21,C21)-SUMIFS($H$2:H21,$C$2:C21,C21)</f>
        <v>0</v>
      </c>
    </row>
    <row r="22" spans="2:9" x14ac:dyDescent="0.3">
      <c r="B22" t="str">
        <f t="shared" si="0"/>
        <v>CB-0021</v>
      </c>
      <c r="I22">
        <f>SUMIFS($G$2:G22,$C$2:C22,C22)-SUMIFS($H$2:H22,$C$2:C22,C22)</f>
        <v>0</v>
      </c>
    </row>
    <row r="23" spans="2:9" x14ac:dyDescent="0.3">
      <c r="B23" t="str">
        <f t="shared" si="0"/>
        <v>CB-0022</v>
      </c>
    </row>
  </sheetData>
  <dataValidations count="4">
    <dataValidation type="list" allowBlank="1" showInputMessage="1" showErrorMessage="1" sqref="D7:D23" xr:uid="{6F17362F-AEC0-487D-9570-265A1E3F62D4}">
      <formula1>"SALE,CUSTOMER PAYMENT,PURCHSE,SUPPLIER PAYMENT,EXPENSE,CAPITAL,WITHDRAWL,TRANSFER,OTHER"</formula1>
    </dataValidation>
    <dataValidation type="list" allowBlank="1" showInputMessage="1" showErrorMessage="1" sqref="C2:C23" xr:uid="{0E6B3F93-F00E-4FFC-80F2-42B626DCB5F7}">
      <formula1>"CASH, BANK,EASYPAISA,JAZZCASH,OTHER"</formula1>
    </dataValidation>
    <dataValidation type="list" allowBlank="1" showInputMessage="1" showErrorMessage="1" sqref="D2:D6" xr:uid="{581A9692-B798-43F5-830D-F632532D1C3C}">
      <formula1>"CUSTOMER PAYMENT,SUPPLIER PAYMENT,EXPENSE,CAPITAL,TRANSFER,OTHER"</formula1>
    </dataValidation>
    <dataValidation type="list" allowBlank="1" showInputMessage="1" showErrorMessage="1" sqref="K1:K1048576" xr:uid="{B08BC6E9-8B43-4947-8CA2-2940A392F2A5}">
      <formula1>"CASH,BANK,EASYPAISA,JAZZCASH,OTHER"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ITEM MASTER</vt:lpstr>
      <vt:lpstr>PURCHASE</vt:lpstr>
      <vt:lpstr>SUPPLIER</vt:lpstr>
      <vt:lpstr>STOCK LEDGER</vt:lpstr>
      <vt:lpstr>SALES</vt:lpstr>
      <vt:lpstr>CUSTOMERS</vt:lpstr>
      <vt:lpstr>CUSTOMERS PAYMENTS</vt:lpstr>
      <vt:lpstr>EXPENSES</vt:lpstr>
      <vt:lpstr>SUPPLIER PAYMENTS</vt:lpstr>
      <vt:lpstr>CASH &amp;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SUFIYAN MALIK</dc:creator>
  <cp:lastModifiedBy>SUFIYAN MALIK</cp:lastModifiedBy>
  <dcterms:created xsi:type="dcterms:W3CDTF">2026-10-06T07:16:01Z</dcterms:created>
  <dcterms:modified xsi:type="dcterms:W3CDTF">2026-10-10T07:23:27Z</dcterms:modified>
</cp:coreProperties>
</file>